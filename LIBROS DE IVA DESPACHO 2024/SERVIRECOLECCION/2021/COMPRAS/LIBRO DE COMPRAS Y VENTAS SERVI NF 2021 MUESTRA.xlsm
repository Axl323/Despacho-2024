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20520" windowHeight="7770" tabRatio="790" activeTab="3"/>
  </bookViews>
  <sheets>
    <sheet name="Compras" sheetId="6" r:id="rId1"/>
    <sheet name="Libro de Compras" sheetId="7" r:id="rId2"/>
    <sheet name="Contribuyente" sheetId="5" r:id="rId3"/>
    <sheet name="Libro de Contribuyente" sheetId="8" r:id="rId4"/>
    <sheet name="RESUMEN" sheetId="16" r:id="rId5"/>
    <sheet name="Consumidor" sheetId="9" r:id="rId6"/>
    <sheet name="Libro de Consumidor" sheetId="10" r:id="rId7"/>
    <sheet name="base de clientes" sheetId="3" r:id="rId8"/>
    <sheet name="RET 1%" sheetId="12" r:id="rId9"/>
    <sheet name="RET 10%" sheetId="13" r:id="rId10"/>
    <sheet name="DECLARACION" sheetId="14" r:id="rId11"/>
    <sheet name="Hoja1" sheetId="11" r:id="rId12"/>
  </sheets>
  <externalReferences>
    <externalReference r:id="rId13"/>
    <externalReference r:id="rId14"/>
    <externalReference r:id="rId15"/>
  </externalReferences>
  <definedNames>
    <definedName name="_xlnm._FilterDatabase" localSheetId="8" hidden="1">'RET 1%'!$A$1:$I$88</definedName>
    <definedName name="_xlnm._FilterDatabase" localSheetId="9" hidden="1">'RET 10%'!$A$1:$T$1</definedName>
    <definedName name="_xlnm.Print_Area" localSheetId="2">Contribuyente!$A$1:$E$23</definedName>
    <definedName name="SegmentaciónDeDatos_FECHA">#N/A</definedName>
  </definedNames>
  <calcPr calcId="145621"/>
  <pivotCaches>
    <pivotCache cacheId="0" r:id="rId16"/>
  </pivotCaches>
  <extLst>
    <ext xmlns:x14="http://schemas.microsoft.com/office/spreadsheetml/2009/9/main" uri="{BBE1A952-AA13-448e-AADC-164F8A28A991}">
      <x14:slicerCaches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10" l="1"/>
  <c r="Q3" i="10" s="1"/>
  <c r="P4" i="10"/>
  <c r="Q4" i="10" s="1"/>
  <c r="P5" i="10"/>
  <c r="Q5" i="10" s="1"/>
  <c r="P6" i="10"/>
  <c r="Q6" i="10" s="1"/>
  <c r="P7" i="10"/>
  <c r="Q7" i="10" s="1"/>
  <c r="P8" i="10"/>
  <c r="Q8" i="10" s="1"/>
  <c r="P9" i="10"/>
  <c r="Q9" i="10" s="1"/>
  <c r="P10" i="10"/>
  <c r="Q10" i="10" s="1"/>
  <c r="P11" i="10"/>
  <c r="Q11" i="10" s="1"/>
  <c r="P12" i="10"/>
  <c r="Q12" i="10" s="1"/>
  <c r="P13" i="10"/>
  <c r="Q13" i="10" s="1"/>
  <c r="P14" i="10"/>
  <c r="Q14" i="10" s="1"/>
  <c r="P15" i="10"/>
  <c r="Q15" i="10" s="1"/>
  <c r="P16" i="10"/>
  <c r="Q16" i="10" s="1"/>
  <c r="P17" i="10"/>
  <c r="Q17" i="10" s="1"/>
  <c r="P18" i="10"/>
  <c r="Q18" i="10" s="1"/>
  <c r="P19" i="10"/>
  <c r="Q19" i="10" s="1"/>
  <c r="P20" i="10"/>
  <c r="Q20" i="10" s="1"/>
  <c r="P21" i="10"/>
  <c r="Q21" i="10" s="1"/>
  <c r="P22" i="10"/>
  <c r="Q22" i="10" s="1"/>
  <c r="P23" i="10"/>
  <c r="Q23" i="10" s="1"/>
  <c r="P24" i="10"/>
  <c r="Q24" i="10" s="1"/>
  <c r="P25" i="10"/>
  <c r="Q25" i="10" s="1"/>
  <c r="P26" i="10"/>
  <c r="Q26" i="10" s="1"/>
  <c r="P27" i="10"/>
  <c r="Q27" i="10" s="1"/>
  <c r="P28" i="10"/>
  <c r="Q28" i="10" s="1"/>
  <c r="P29" i="10"/>
  <c r="Q29" i="10" s="1"/>
  <c r="P30" i="10"/>
  <c r="Q30" i="10" s="1"/>
  <c r="P31" i="10"/>
  <c r="Q31" i="10" s="1"/>
  <c r="P32" i="10"/>
  <c r="Q32" i="10" s="1"/>
  <c r="P33" i="10"/>
  <c r="Q33" i="10" s="1"/>
  <c r="P34" i="10"/>
  <c r="Q34" i="10" s="1"/>
  <c r="P35" i="10"/>
  <c r="Q35" i="10" s="1"/>
  <c r="P36" i="10"/>
  <c r="Q36" i="10" s="1"/>
  <c r="P37" i="10"/>
  <c r="Q37" i="10" s="1"/>
  <c r="P38" i="10"/>
  <c r="Q38" i="10" s="1"/>
  <c r="P39" i="10"/>
  <c r="Q39" i="10" s="1"/>
  <c r="P40" i="10"/>
  <c r="Q40" i="10" s="1"/>
  <c r="P41" i="10"/>
  <c r="Q41" i="10" s="1"/>
  <c r="P42" i="10"/>
  <c r="Q42" i="10" s="1"/>
  <c r="P43" i="10"/>
  <c r="Q43" i="10" s="1"/>
  <c r="P44" i="10"/>
  <c r="Q44" i="10" s="1"/>
  <c r="P45" i="10"/>
  <c r="Q45" i="10" s="1"/>
  <c r="P46" i="10"/>
  <c r="Q46" i="10" s="1"/>
  <c r="P47" i="10"/>
  <c r="Q47" i="10" s="1"/>
  <c r="P48" i="10"/>
  <c r="Q48" i="10" s="1"/>
  <c r="P49" i="10"/>
  <c r="Q49" i="10" s="1"/>
  <c r="P50" i="10"/>
  <c r="Q50" i="10" s="1"/>
  <c r="P51" i="10"/>
  <c r="Q51" i="10" s="1"/>
  <c r="P52" i="10"/>
  <c r="Q52" i="10" s="1"/>
  <c r="P53" i="10"/>
  <c r="Q53" i="10" s="1"/>
  <c r="P54" i="10"/>
  <c r="Q54" i="10" s="1"/>
  <c r="P55" i="10"/>
  <c r="Q55" i="10" s="1"/>
  <c r="P56" i="10"/>
  <c r="Q56" i="10" s="1"/>
  <c r="P57" i="10"/>
  <c r="Q57" i="10" s="1"/>
  <c r="P58" i="10"/>
  <c r="Q58" i="10" s="1"/>
  <c r="P59" i="10"/>
  <c r="Q59" i="10" s="1"/>
  <c r="P60" i="10"/>
  <c r="Q60" i="10" s="1"/>
  <c r="P61" i="10"/>
  <c r="Q61" i="10" s="1"/>
  <c r="P62" i="10"/>
  <c r="Q62" i="10" s="1"/>
  <c r="P63" i="10"/>
  <c r="Q63" i="10" s="1"/>
  <c r="P64" i="10"/>
  <c r="Q64" i="10" s="1"/>
  <c r="P65" i="10"/>
  <c r="Q65" i="10" s="1"/>
  <c r="Q66" i="10" l="1"/>
  <c r="P66" i="10"/>
  <c r="A29" i="8" l="1"/>
  <c r="D29" i="8"/>
  <c r="A28" i="8"/>
  <c r="D28" i="8"/>
  <c r="A27" i="8"/>
  <c r="D27" i="8"/>
  <c r="A26" i="8"/>
  <c r="D26" i="8"/>
  <c r="A25" i="8"/>
  <c r="D25" i="8"/>
  <c r="A24" i="8"/>
  <c r="D24" i="8"/>
  <c r="D9" i="5"/>
  <c r="A23" i="8"/>
  <c r="D23" i="8"/>
  <c r="A22" i="8"/>
  <c r="D22" i="8"/>
  <c r="A21" i="8"/>
  <c r="D21" i="8"/>
  <c r="A20" i="8"/>
  <c r="D20" i="8"/>
  <c r="A19" i="8"/>
  <c r="D19" i="8"/>
  <c r="A18" i="8"/>
  <c r="D18" i="8"/>
  <c r="A17" i="8"/>
  <c r="D17" i="8"/>
  <c r="A16" i="8"/>
  <c r="D16" i="8"/>
  <c r="A15" i="8"/>
  <c r="D15" i="8"/>
  <c r="A14" i="8"/>
  <c r="D14" i="8"/>
  <c r="A13" i="8"/>
  <c r="D13" i="8"/>
  <c r="A12" i="8"/>
  <c r="D12" i="8"/>
  <c r="A11" i="8"/>
  <c r="D11" i="8"/>
  <c r="A10" i="8"/>
  <c r="D10" i="8"/>
  <c r="A9" i="8"/>
  <c r="D9" i="8"/>
  <c r="A8" i="8"/>
  <c r="D8" i="8"/>
  <c r="A7" i="8"/>
  <c r="D7" i="8"/>
  <c r="A6" i="8"/>
  <c r="D6" i="8"/>
  <c r="A5" i="8"/>
  <c r="D5" i="8"/>
  <c r="A4" i="8"/>
  <c r="D4" i="8"/>
  <c r="A3" i="8"/>
  <c r="D3" i="8"/>
  <c r="A30" i="8" l="1"/>
  <c r="D30" i="8"/>
  <c r="A31" i="8"/>
  <c r="D31" i="8"/>
  <c r="A32" i="8"/>
  <c r="D32" i="8"/>
  <c r="A33" i="8"/>
  <c r="D33" i="8"/>
  <c r="A34" i="8"/>
  <c r="D34" i="8"/>
  <c r="A35" i="8"/>
  <c r="D35" i="8"/>
  <c r="A36" i="8"/>
  <c r="D36" i="8"/>
  <c r="A37" i="8"/>
  <c r="D37" i="8"/>
  <c r="A38" i="8"/>
  <c r="D38" i="8"/>
  <c r="A39" i="8"/>
  <c r="D39" i="8"/>
  <c r="A40" i="8"/>
  <c r="D40" i="8"/>
  <c r="A41" i="8"/>
  <c r="D41" i="8"/>
  <c r="A42" i="8"/>
  <c r="D42" i="8"/>
  <c r="A43" i="8"/>
  <c r="D43" i="8"/>
  <c r="A44" i="8"/>
  <c r="D44" i="8"/>
  <c r="A45" i="8"/>
  <c r="D45" i="8"/>
  <c r="A46" i="8"/>
  <c r="D46" i="8"/>
  <c r="A47" i="8"/>
  <c r="D47" i="8"/>
  <c r="A48" i="8"/>
  <c r="D48" i="8"/>
  <c r="A49" i="8"/>
  <c r="D49" i="8"/>
  <c r="A50" i="8"/>
  <c r="D50" i="8"/>
  <c r="A51" i="8"/>
  <c r="D51" i="8"/>
  <c r="A52" i="8"/>
  <c r="D52" i="8"/>
  <c r="A53" i="8"/>
  <c r="D53" i="8"/>
  <c r="A54" i="8"/>
  <c r="D54" i="8"/>
  <c r="A55" i="8"/>
  <c r="D55" i="8"/>
  <c r="A56" i="8"/>
  <c r="D56" i="8"/>
  <c r="A57" i="8"/>
  <c r="D57" i="8"/>
  <c r="A58" i="8"/>
  <c r="D58" i="8"/>
  <c r="A59" i="8"/>
  <c r="D59" i="8"/>
  <c r="A60" i="8"/>
  <c r="D60" i="8"/>
  <c r="A61" i="8"/>
  <c r="D61" i="8"/>
  <c r="A62" i="8"/>
  <c r="D62" i="8"/>
  <c r="A63" i="8"/>
  <c r="D63" i="8"/>
  <c r="A64" i="8"/>
  <c r="D64" i="8"/>
  <c r="A65" i="8"/>
  <c r="D65" i="8"/>
  <c r="P870" i="7" l="1"/>
  <c r="O870" i="7"/>
  <c r="A66" i="8" l="1"/>
  <c r="D66" i="8"/>
  <c r="A67" i="8"/>
  <c r="D67" i="8"/>
  <c r="A68" i="8"/>
  <c r="D68" i="8"/>
  <c r="A69" i="8"/>
  <c r="D69" i="8"/>
  <c r="A70" i="8"/>
  <c r="D70" i="8"/>
  <c r="A71" i="8"/>
  <c r="D71" i="8"/>
  <c r="A72" i="8"/>
  <c r="D72" i="8"/>
  <c r="A73" i="8"/>
  <c r="D73" i="8"/>
  <c r="A74" i="8"/>
  <c r="D74" i="8"/>
  <c r="A75" i="8"/>
  <c r="D75" i="8"/>
  <c r="A76" i="8"/>
  <c r="D76" i="8"/>
  <c r="A77" i="8"/>
  <c r="D77" i="8"/>
  <c r="A78" i="8"/>
  <c r="D78" i="8"/>
  <c r="A79" i="8"/>
  <c r="D79" i="8"/>
  <c r="A80" i="8"/>
  <c r="D80" i="8"/>
  <c r="A81" i="8"/>
  <c r="D81" i="8"/>
  <c r="A82" i="8"/>
  <c r="D82" i="8"/>
  <c r="A83" i="8"/>
  <c r="D83" i="8"/>
  <c r="A84" i="8"/>
  <c r="D84" i="8"/>
  <c r="A85" i="8"/>
  <c r="D85" i="8"/>
  <c r="A86" i="8"/>
  <c r="D86" i="8"/>
  <c r="A87" i="8"/>
  <c r="D87" i="8"/>
  <c r="A88" i="8"/>
  <c r="D88" i="8"/>
  <c r="A89" i="8"/>
  <c r="D89" i="8"/>
  <c r="A90" i="8"/>
  <c r="D90" i="8"/>
  <c r="A91" i="8"/>
  <c r="D91" i="8"/>
  <c r="A92" i="8"/>
  <c r="D92" i="8"/>
  <c r="A93" i="8"/>
  <c r="D93" i="8"/>
  <c r="A94" i="8"/>
  <c r="D94" i="8"/>
  <c r="A95" i="8"/>
  <c r="D95" i="8"/>
  <c r="A96" i="8"/>
  <c r="D96" i="8"/>
  <c r="A97" i="8"/>
  <c r="D97" i="8"/>
  <c r="A98" i="8"/>
  <c r="D98" i="8"/>
  <c r="A99" i="8"/>
  <c r="D99" i="8"/>
  <c r="A100" i="8"/>
  <c r="D100" i="8"/>
  <c r="A101" i="8"/>
  <c r="D101" i="8"/>
  <c r="A102" i="8"/>
  <c r="D102" i="8"/>
  <c r="D17" i="6" l="1"/>
  <c r="A103" i="8" l="1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U200" i="8" l="1"/>
  <c r="D9" i="6" l="1"/>
  <c r="R66" i="10" l="1"/>
  <c r="W61" i="10"/>
  <c r="W64" i="10"/>
  <c r="W63" i="10"/>
  <c r="W62" i="10"/>
  <c r="W65" i="10"/>
  <c r="W60" i="10"/>
  <c r="W59" i="10"/>
  <c r="W58" i="10"/>
  <c r="W57" i="10"/>
  <c r="W56" i="10"/>
  <c r="W55" i="10"/>
  <c r="W54" i="10"/>
  <c r="W53" i="10"/>
  <c r="W52" i="10"/>
  <c r="W51" i="10"/>
  <c r="W50" i="10"/>
  <c r="W49" i="10"/>
  <c r="W48" i="10"/>
  <c r="W47" i="10"/>
  <c r="W46" i="10"/>
  <c r="W45" i="10"/>
  <c r="W44" i="10"/>
  <c r="W43" i="10"/>
  <c r="W42" i="10"/>
  <c r="W41" i="10"/>
  <c r="W40" i="10"/>
  <c r="W39" i="10"/>
  <c r="W38" i="10"/>
  <c r="F4" i="6" l="1"/>
  <c r="G4" i="6"/>
  <c r="J4" i="6" l="1"/>
  <c r="D4" i="6" s="1"/>
  <c r="H89" i="12" l="1"/>
  <c r="I18" i="14" s="1"/>
  <c r="G89" i="12"/>
  <c r="K870" i="7"/>
  <c r="F14" i="14" s="1"/>
  <c r="H870" i="7"/>
  <c r="G14" i="14" s="1"/>
  <c r="Q870" i="7"/>
  <c r="W66" i="10"/>
  <c r="T66" i="10"/>
  <c r="J4" i="14" s="1"/>
  <c r="O66" i="10"/>
  <c r="L66" i="10"/>
  <c r="G4" i="14" s="1"/>
  <c r="R200" i="8"/>
  <c r="Q200" i="8"/>
  <c r="H4" i="14" s="1"/>
  <c r="I4" i="14" l="1"/>
  <c r="I5" i="14" s="1"/>
  <c r="J9" i="14"/>
  <c r="I8" i="14"/>
  <c r="G9" i="14"/>
  <c r="H2997" i="13"/>
  <c r="J2997" i="13"/>
  <c r="I9" i="14" l="1"/>
  <c r="D11" i="5"/>
  <c r="D9" i="9" l="1"/>
  <c r="D10" i="9" s="1"/>
  <c r="D11" i="9" s="1"/>
  <c r="D22" i="9" l="1"/>
  <c r="D15" i="5" l="1"/>
  <c r="D18" i="5" s="1"/>
  <c r="H9" i="14"/>
  <c r="I14" i="14" l="1"/>
  <c r="I15" i="14" s="1"/>
  <c r="K9" i="14"/>
  <c r="F15" i="14"/>
  <c r="D18" i="6"/>
  <c r="K13" i="14" l="1"/>
  <c r="K14" i="14" s="1"/>
  <c r="L14" i="14" s="1"/>
  <c r="G18" i="14" s="1"/>
  <c r="L9" i="14"/>
  <c r="M10" i="14" s="1"/>
  <c r="F18" i="14"/>
  <c r="G19" i="14" l="1"/>
  <c r="H18" i="14" s="1"/>
  <c r="J18" i="14" s="1"/>
  <c r="L16" i="14" s="1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sharedStrings.xml><?xml version="1.0" encoding="utf-8"?>
<sst xmlns="http://schemas.openxmlformats.org/spreadsheetml/2006/main" count="9488" uniqueCount="842">
  <si>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</si>
  <si>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</si>
  <si>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</si>
  <si>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</si>
  <si>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</si>
  <si>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</si>
  <si>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</si>
  <si>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</si>
  <si>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</si>
  <si>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</si>
  <si>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</si>
  <si>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</si>
  <si>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</si>
  <si>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</si>
  <si>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</si>
  <si>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</si>
  <si>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</si>
  <si>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</si>
  <si>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</si>
  <si>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</si>
  <si>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</si>
  <si>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</si>
  <si>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</si>
  <si>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</si>
  <si>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</si>
  <si>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</si>
  <si>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</si>
  <si>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</si>
  <si>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</si>
  <si>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06143101750030</t>
  </si>
  <si>
    <t>ANULADO</t>
  </si>
  <si>
    <t>MARIA ELENA ZUNIGA VDA DE ALVARENGA</t>
  </si>
  <si>
    <t>01081704541019</t>
  </si>
  <si>
    <t>BUFISA S.A DE C.V.</t>
  </si>
  <si>
    <t>06141905780037</t>
  </si>
  <si>
    <t>DAVID ANTONIO MOLINA SILVA</t>
  </si>
  <si>
    <t>06140807711154</t>
  </si>
  <si>
    <t>GRUPO VOLCANO, S.A DE C.V.</t>
  </si>
  <si>
    <t>06141202151072</t>
  </si>
  <si>
    <t>JUAN ANTONIO MONTERROSA HERNANDEZ</t>
  </si>
  <si>
    <t>03150707841020</t>
  </si>
  <si>
    <t>BLANCA LUZ BELLOSO DE GARCIA</t>
  </si>
  <si>
    <t>03062709630017</t>
  </si>
  <si>
    <t>DINORA MAGAÑA</t>
  </si>
  <si>
    <t>02020807510018</t>
  </si>
  <si>
    <t>UDP POLICLINICA</t>
  </si>
  <si>
    <t>02101901101017</t>
  </si>
  <si>
    <t>AVELARDO ESPINOZA RIVAS</t>
  </si>
  <si>
    <t>03150502711027</t>
  </si>
  <si>
    <t>CASAS AMERICANAS S.A DE C.V.</t>
  </si>
  <si>
    <t>06142702021058</t>
  </si>
  <si>
    <t>LOTICOMER S.A DE C.V.</t>
  </si>
  <si>
    <t>06143006101060</t>
  </si>
  <si>
    <t>ANA PATRICIA SALAVERRIA DE ESCOBAR</t>
  </si>
  <si>
    <t>96000310480018</t>
  </si>
  <si>
    <t>JOSE MARIA GUTIERREZ FLORES</t>
  </si>
  <si>
    <t>14012611611014</t>
  </si>
  <si>
    <t>RIGOBERTO SERRANO QUINTANILLA</t>
  </si>
  <si>
    <t>03152006881020</t>
  </si>
  <si>
    <t>CELESTINO PEREZ JACOBO</t>
  </si>
  <si>
    <t>01100608711013</t>
  </si>
  <si>
    <t>MARIA DEL SOCORRO ANCHETA</t>
  </si>
  <si>
    <t>02032202631017</t>
  </si>
  <si>
    <t>FRANCISCO JESUS MELARA SORIANO</t>
  </si>
  <si>
    <t>01081604851010</t>
  </si>
  <si>
    <t>MIGUEL HENRIQUEZ CHAVEZ</t>
  </si>
  <si>
    <t>03152810640022</t>
  </si>
  <si>
    <t>FRANCISCO ALEXANDER TOBAR CASTILLO</t>
  </si>
  <si>
    <t>03152212861010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</si>
  <si>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</si>
  <si>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</si>
  <si>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</si>
  <si>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</si>
  <si>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</si>
  <si>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</si>
  <si>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</si>
  <si>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</si>
  <si>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</si>
  <si>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</si>
  <si>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</si>
  <si>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</si>
  <si>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</si>
  <si>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</si>
  <si>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</si>
  <si>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</si>
  <si>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</si>
  <si>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</si>
  <si>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AGOSTO</t>
  </si>
  <si>
    <t>NOMBRE DE CLIENTE</t>
  </si>
  <si>
    <t>VENTA NO SUJETA</t>
  </si>
  <si>
    <t>VENTA EXENTA</t>
  </si>
  <si>
    <t>VENTA TOTAL</t>
  </si>
  <si>
    <t>CORRELTIVO2</t>
  </si>
  <si>
    <t>FINAL3</t>
  </si>
  <si>
    <t>24/07/2021</t>
  </si>
  <si>
    <t>23/08/2021</t>
  </si>
  <si>
    <t>25/08/2021</t>
  </si>
  <si>
    <t>27/08/2021</t>
  </si>
  <si>
    <t>28/08/2021</t>
  </si>
  <si>
    <t>31/08/2021</t>
  </si>
  <si>
    <t>31/07/2021</t>
  </si>
  <si>
    <t>19/08/2021</t>
  </si>
  <si>
    <t>12/08/2021</t>
  </si>
  <si>
    <t>02101911710016</t>
  </si>
  <si>
    <t>ALMACENES VIDRI, S.A DE C.V.</t>
  </si>
  <si>
    <t>16/08/2021</t>
  </si>
  <si>
    <t>30/08/2021</t>
  </si>
  <si>
    <t>21/08/2021</t>
  </si>
  <si>
    <t>26/08/2021</t>
  </si>
  <si>
    <t>10/08/2021</t>
  </si>
  <si>
    <t>13/08/2021</t>
  </si>
  <si>
    <t>17/08/2021</t>
  </si>
  <si>
    <t>24/08/2021</t>
  </si>
  <si>
    <t>06141402560013</t>
  </si>
  <si>
    <t>FERRETERIA LA PALMA S.A DE C.V.</t>
  </si>
  <si>
    <t>20/08/2021</t>
  </si>
  <si>
    <t>18/08/2021</t>
  </si>
  <si>
    <t>11/08/2021</t>
  </si>
  <si>
    <t>14/08/2021</t>
  </si>
  <si>
    <t>09/08/2021</t>
  </si>
  <si>
    <t>27/07/2021</t>
  </si>
  <si>
    <t>28/07/2021</t>
  </si>
  <si>
    <t>30/07/2021</t>
  </si>
  <si>
    <t>02/08/2021</t>
  </si>
  <si>
    <t>04/08/2021</t>
  </si>
  <si>
    <t>07/08/2021</t>
  </si>
  <si>
    <t>03/08/2021</t>
  </si>
  <si>
    <t>06140108580017</t>
  </si>
  <si>
    <t>FREUND S.A DE C.V.</t>
  </si>
  <si>
    <t>0</t>
  </si>
  <si>
    <t>05/08/2021</t>
  </si>
  <si>
    <t>01</t>
  </si>
  <si>
    <t>06140101680020</t>
  </si>
  <si>
    <t>EL GRANJERO S.A DE C.V.</t>
  </si>
  <si>
    <t>05121506660010</t>
  </si>
  <si>
    <t>JOSE ANGEL VALENCIA PEREZ</t>
  </si>
  <si>
    <t>03061811941018</t>
  </si>
  <si>
    <t>KEVIN ROLANDO SOFOCLES RECINOS</t>
  </si>
  <si>
    <t>06141910840030</t>
  </si>
  <si>
    <t>CONSTRUCTORA DISA S.A DE C.V.</t>
  </si>
  <si>
    <t>03122006771016</t>
  </si>
  <si>
    <t>MIRIAM HARDEE ESCOBAR</t>
  </si>
  <si>
    <t>06141208131022</t>
  </si>
  <si>
    <t>MOTORES Y VEHICULOS S.A DE C.V.</t>
  </si>
  <si>
    <t>06142704091010</t>
  </si>
  <si>
    <t>MEGABLOCK S.A DE C.V.</t>
  </si>
  <si>
    <t>06143006991020</t>
  </si>
  <si>
    <t>AMERICAN PETROLEUM DE EL SALVADOR</t>
  </si>
  <si>
    <t>06142506941050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</si>
  <si>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</si>
  <si>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</si>
  <si>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</si>
  <si>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</si>
  <si>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</si>
  <si>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</si>
  <si>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</si>
  <si>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</si>
  <si>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</si>
  <si>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05010702161018</t>
  </si>
  <si>
    <t>GASPRO DE EL SALVADOR S.A DE C.V.</t>
  </si>
  <si>
    <t>05071611851017</t>
  </si>
  <si>
    <t>ERICK ARMANDO BARAHONA</t>
  </si>
  <si>
    <t>06142112951025</t>
  </si>
  <si>
    <t>ACNEPRO S.A DE C.V.</t>
  </si>
  <si>
    <t>06142910640026</t>
  </si>
  <si>
    <t>SARAN S.A DE C.V.</t>
  </si>
  <si>
    <t>03010907741016</t>
  </si>
  <si>
    <t>MANUEL DE JESUS AGUIRRE ACOSTA</t>
  </si>
  <si>
    <t>06142610790018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</si>
  <si>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</si>
  <si>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</si>
  <si>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</si>
  <si>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</si>
  <si>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</si>
  <si>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</si>
  <si>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</si>
  <si>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02103009931016</t>
  </si>
  <si>
    <t>TEJEMET S.A DE C.V.</t>
  </si>
  <si>
    <t>06140102840029</t>
  </si>
  <si>
    <t>NOBS HIDRODIFUCION</t>
  </si>
  <si>
    <t>05032407751016</t>
  </si>
  <si>
    <t>MILTON RAFAEL PANIAGUA AGUILAR</t>
  </si>
  <si>
    <t>06142307860012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</si>
  <si>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</si>
  <si>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</si>
  <si>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</si>
  <si>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</si>
  <si>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</si>
  <si>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</si>
  <si>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06140702971037</t>
  </si>
  <si>
    <t>IMPORTADORA DE FRUTAS S.A DE C.V.</t>
  </si>
  <si>
    <t>06141909001034</t>
  </si>
  <si>
    <t>RAMIREZ VENTURA S.A DE C.V</t>
  </si>
  <si>
    <t>06141703710012</t>
  </si>
  <si>
    <t>BORGONOVO POHL S.A DE C.V.</t>
  </si>
  <si>
    <t>06142706881019</t>
  </si>
  <si>
    <t>DEL TROPICFOOD S.A DE C.V.</t>
  </si>
  <si>
    <t>06142711201018</t>
  </si>
  <si>
    <t>DISTRIBUIDORA DE EQUIPOS Y SERVICIOS</t>
  </si>
  <si>
    <t>06141210001020</t>
  </si>
  <si>
    <t>AGROINDUSTRIA CENTROAMERICANA</t>
  </si>
  <si>
    <t>PEDRERA PROTERSA S.A DE C.V.</t>
  </si>
  <si>
    <t>06142607780022</t>
  </si>
  <si>
    <t>ASFALTOS DE CENTROAMERICA S.A DE C.V.</t>
  </si>
  <si>
    <t>06141502131049</t>
  </si>
  <si>
    <t>LLANTAS Y ACCESORIOS</t>
  </si>
  <si>
    <t>05150706911014</t>
  </si>
  <si>
    <t>EXPORTADORA PACAS MARTINEZ</t>
  </si>
  <si>
    <t>06140702921021</t>
  </si>
  <si>
    <t>CASA BAZZYNI S.A DE C.V.</t>
  </si>
  <si>
    <t>08150905750014</t>
  </si>
  <si>
    <t>A.C.P.A COMUNIDADES UNIDAS DE RL</t>
  </si>
  <si>
    <t>06141810901033</t>
  </si>
  <si>
    <t>ADINCE S.A DE C.V.</t>
  </si>
  <si>
    <t>94500501121011</t>
  </si>
  <si>
    <t>JESV INC SUCURSAL EL SALVADOR</t>
  </si>
  <si>
    <t>06142002151023</t>
  </si>
  <si>
    <t>OFG EL SALVADOR S.A DE C.V</t>
  </si>
  <si>
    <t>06140907680011</t>
  </si>
  <si>
    <t>INMUEBLES S.A DE C.V</t>
  </si>
  <si>
    <t>06141306161010</t>
  </si>
  <si>
    <t>EDIFICACION, CONSTRUCCION, Y ASESORIA S.A DE C.V</t>
  </si>
  <si>
    <t>05012309191010</t>
  </si>
  <si>
    <t>FONDO DE TITULARIZACION DE INMUEBLES</t>
  </si>
  <si>
    <t>06141506941061</t>
  </si>
  <si>
    <t>O &amp; M MANTENIMIENTO Y SERVICIOS S.A DE C.V</t>
  </si>
  <si>
    <t>11061508801026</t>
  </si>
  <si>
    <t>JIMMY EDGARDO CALERO MARAVILLA</t>
  </si>
  <si>
    <t>11151906460011</t>
  </si>
  <si>
    <t>MOISES ELIAS CARCAMO</t>
  </si>
  <si>
    <t>06141603131023</t>
  </si>
  <si>
    <t>CARDEU S.A DE C.V</t>
  </si>
  <si>
    <t>06141909031057</t>
  </si>
  <si>
    <t>ORGANIKA S.A DE C.V</t>
  </si>
  <si>
    <t>03151403510011</t>
  </si>
  <si>
    <t>RINA ALFARO CASTRO</t>
  </si>
  <si>
    <t>06152309490011</t>
  </si>
  <si>
    <t>SARA ALFARO CASTRO</t>
  </si>
  <si>
    <t>06142801141049</t>
  </si>
  <si>
    <t>SERVICORP S.A DE C.V</t>
  </si>
  <si>
    <t>06143107971090</t>
  </si>
  <si>
    <t>OPERADORA DEL SUR, S. A. DE C.V.</t>
  </si>
  <si>
    <t>06141210830014</t>
  </si>
  <si>
    <t>PRODUCTOS CARNICOS S.A DE C.V.</t>
  </si>
  <si>
    <t>06143101550016</t>
  </si>
  <si>
    <t>BANCO AGRICOLA, S.A.</t>
  </si>
  <si>
    <t>06140101850027</t>
  </si>
  <si>
    <t>NEGOCIOS CAMYRAM S.A DE C.V</t>
  </si>
  <si>
    <t>06141009650016</t>
  </si>
  <si>
    <t>INDUSTRIAS MIKE MIKE S.A DE C.V.</t>
  </si>
  <si>
    <t>06142510021011</t>
  </si>
  <si>
    <t>LA CONSTANCIA LTDA DE C.V.</t>
  </si>
  <si>
    <t>06142808031087</t>
  </si>
  <si>
    <t>INVERSIONES STANLEY PACIFICO S.A DE C.V.</t>
  </si>
  <si>
    <t>06141111931016</t>
  </si>
  <si>
    <t>ENMANUEL S.A DE C.V.</t>
  </si>
  <si>
    <t>06140909921072</t>
  </si>
  <si>
    <t>POLYBAG S.A DE C.V.</t>
  </si>
  <si>
    <t>06141206740014</t>
  </si>
  <si>
    <t>NEMTEX S.A DE C.V.</t>
  </si>
  <si>
    <t>06142411181015</t>
  </si>
  <si>
    <t>INGENIERIA BEM S.A DE C.V.</t>
  </si>
  <si>
    <t>06142910131029</t>
  </si>
  <si>
    <t>UNILEVER EL SALVADOR SCC S.A DE C.V.</t>
  </si>
  <si>
    <t>06141511720027</t>
  </si>
  <si>
    <t>SUPER REPUESTOS EL SALVADOR S.A DE C.V.</t>
  </si>
  <si>
    <t>06140202021024</t>
  </si>
  <si>
    <t>PROGURSA S.A DE C.V.</t>
  </si>
  <si>
    <t>06142301690017</t>
  </si>
  <si>
    <t>HOTELES S.A DE C.V.</t>
  </si>
  <si>
    <t>06142703780037</t>
  </si>
  <si>
    <t>PINTURA Y ENDEREZADO S.A DE C.V.</t>
  </si>
  <si>
    <t>06140104620021</t>
  </si>
  <si>
    <t>TALLER DIDEA, S.A. DE C.V.</t>
  </si>
  <si>
    <t>06143112510011</t>
  </si>
  <si>
    <t>DIDEA S.A DE C.V.</t>
  </si>
  <si>
    <t>06141512001054</t>
  </si>
  <si>
    <t>GRUPO PAILL S.A DE C.V.</t>
  </si>
  <si>
    <t>06142311981022</t>
  </si>
  <si>
    <t>COMTRI S.A DE C.V.</t>
  </si>
  <si>
    <t>06142402121034</t>
  </si>
  <si>
    <t>BOMBOM S.A DE C.V.</t>
  </si>
  <si>
    <t>06142708620024</t>
  </si>
  <si>
    <t>ESTABLECIMIENTOS ANCALMO, S.A DE C.V</t>
  </si>
  <si>
    <t>06140702001011</t>
  </si>
  <si>
    <t>CORPORACION GRS S.A DE C.V.</t>
  </si>
  <si>
    <t>06140901921022</t>
  </si>
  <si>
    <t>GRANJA EL ROBLE S.A DE C.V.</t>
  </si>
  <si>
    <t>TOTAL</t>
  </si>
  <si>
    <t>7</t>
  </si>
  <si>
    <t>9496</t>
  </si>
  <si>
    <t>19DS000E</t>
  </si>
  <si>
    <t>07</t>
  </si>
  <si>
    <t>30/06/2021</t>
  </si>
  <si>
    <t>JULIO</t>
  </si>
  <si>
    <t>1084</t>
  </si>
  <si>
    <t>20SD000E</t>
  </si>
  <si>
    <t>06/06/2021</t>
  </si>
  <si>
    <t>1249</t>
  </si>
  <si>
    <t>07/06/2021</t>
  </si>
  <si>
    <t>06142403780037</t>
  </si>
  <si>
    <t>1727</t>
  </si>
  <si>
    <t>2884</t>
  </si>
  <si>
    <t>22/07/2021</t>
  </si>
  <si>
    <t>517</t>
  </si>
  <si>
    <t>21DS000E</t>
  </si>
  <si>
    <t>459</t>
  </si>
  <si>
    <t>28/06/2021</t>
  </si>
  <si>
    <t>343</t>
  </si>
  <si>
    <t>31/05/2021</t>
  </si>
  <si>
    <t>342</t>
  </si>
  <si>
    <t>210</t>
  </si>
  <si>
    <t>30/04/2021</t>
  </si>
  <si>
    <t>80</t>
  </si>
  <si>
    <t>23/04/2021</t>
  </si>
  <si>
    <t>25886</t>
  </si>
  <si>
    <t>25959</t>
  </si>
  <si>
    <t>9096</t>
  </si>
  <si>
    <t>JUNIO</t>
  </si>
  <si>
    <t>1042</t>
  </si>
  <si>
    <t>06/05/2021</t>
  </si>
  <si>
    <t>3106229</t>
  </si>
  <si>
    <t>20SD000U</t>
  </si>
  <si>
    <t>05/04/2021</t>
  </si>
  <si>
    <t>1578</t>
  </si>
  <si>
    <t>25/06/2021</t>
  </si>
  <si>
    <t>2523</t>
  </si>
  <si>
    <t>14/06/2021</t>
  </si>
  <si>
    <t>2418</t>
  </si>
  <si>
    <t>26/05/2021</t>
  </si>
  <si>
    <t>1468</t>
  </si>
  <si>
    <t>27/05/2021</t>
  </si>
  <si>
    <t>26057</t>
  </si>
  <si>
    <t>14/05/2021</t>
  </si>
  <si>
    <t>5441</t>
  </si>
  <si>
    <t>5211</t>
  </si>
  <si>
    <t>5212</t>
  </si>
  <si>
    <t>381569</t>
  </si>
  <si>
    <t>19DS000U</t>
  </si>
  <si>
    <t>24/06/2021</t>
  </si>
  <si>
    <t>381568</t>
  </si>
  <si>
    <t>8686</t>
  </si>
  <si>
    <t>MAYO</t>
  </si>
  <si>
    <t>2155</t>
  </si>
  <si>
    <t>14/04/2021</t>
  </si>
  <si>
    <t>349799</t>
  </si>
  <si>
    <t>26/04/2021</t>
  </si>
  <si>
    <t>348819</t>
  </si>
  <si>
    <t>18/03/2021</t>
  </si>
  <si>
    <t>348943</t>
  </si>
  <si>
    <t>23/03/2021</t>
  </si>
  <si>
    <t>348942</t>
  </si>
  <si>
    <t>349424</t>
  </si>
  <si>
    <t>19/04/2021</t>
  </si>
  <si>
    <t>349338</t>
  </si>
  <si>
    <t>15/04/2021</t>
  </si>
  <si>
    <t>348185</t>
  </si>
  <si>
    <t>23/02/2021</t>
  </si>
  <si>
    <t>348186</t>
  </si>
  <si>
    <t>349130</t>
  </si>
  <si>
    <t>26/03/2021</t>
  </si>
  <si>
    <t>349131</t>
  </si>
  <si>
    <t>349132</t>
  </si>
  <si>
    <t>RETENCION</t>
  </si>
  <si>
    <t>MONTO</t>
  </si>
  <si>
    <t>DOC</t>
  </si>
  <si>
    <t>TIPO</t>
  </si>
  <si>
    <t>072021</t>
  </si>
  <si>
    <t>43</t>
  </si>
  <si>
    <t>06142602650082</t>
  </si>
  <si>
    <t>ORELLANA VIDES MAURICIO ANIBAL</t>
  </si>
  <si>
    <t>9300</t>
  </si>
  <si>
    <t>05021704500010</t>
  </si>
  <si>
    <t>CHICAS VDA. DE OSEGUEDA MARIA ELVA</t>
  </si>
  <si>
    <t>06142407721056</t>
  </si>
  <si>
    <t>OSEGUEDA CHICAS JAIME DANILO</t>
  </si>
  <si>
    <t>30</t>
  </si>
  <si>
    <t>130.50</t>
  </si>
  <si>
    <t>11</t>
  </si>
  <si>
    <t>05043110741013</t>
  </si>
  <si>
    <t>RIVAS INTERIANO OSCAR HUMBERTO</t>
  </si>
  <si>
    <t>062021</t>
  </si>
  <si>
    <t>052021</t>
  </si>
  <si>
    <t>18</t>
  </si>
  <si>
    <t>43.50</t>
  </si>
  <si>
    <t>PERIODO</t>
  </si>
  <si>
    <t>ISSS/IVM</t>
  </si>
  <si>
    <t>B. MAGISTE</t>
  </si>
  <si>
    <t>CEFAFA</t>
  </si>
  <si>
    <t>IPSFA</t>
  </si>
  <si>
    <t>INPEP</t>
  </si>
  <si>
    <t>ISSS</t>
  </si>
  <si>
    <t>AFP</t>
  </si>
  <si>
    <t>AGUI GRAVA</t>
  </si>
  <si>
    <t>AGUI EX</t>
  </si>
  <si>
    <t>ISR</t>
  </si>
  <si>
    <t>BONIFICACION</t>
  </si>
  <si>
    <t>MONTO D</t>
  </si>
  <si>
    <t>CODIGO</t>
  </si>
  <si>
    <t>NOMBRE</t>
  </si>
  <si>
    <t>PAIS</t>
  </si>
  <si>
    <t>DOMICILIO</t>
  </si>
  <si>
    <t>retencion</t>
  </si>
  <si>
    <t>PROPO</t>
  </si>
  <si>
    <t>iva</t>
  </si>
  <si>
    <t>neto</t>
  </si>
  <si>
    <t>ccf  mas fac</t>
  </si>
  <si>
    <t>FOVIA</t>
  </si>
  <si>
    <t>compras</t>
  </si>
  <si>
    <t>rete</t>
  </si>
  <si>
    <t>PCTA</t>
  </si>
  <si>
    <t>DECLARACION</t>
  </si>
  <si>
    <t>EX</t>
  </si>
  <si>
    <t>FAC</t>
  </si>
  <si>
    <t>CCF</t>
  </si>
  <si>
    <t>exentas.</t>
  </si>
  <si>
    <t>SERVI</t>
  </si>
  <si>
    <t>01/08/2021</t>
  </si>
  <si>
    <t>05111703630014</t>
  </si>
  <si>
    <t>JOSE RICARDO ANTONIO MOLINA</t>
  </si>
  <si>
    <t>06/08/2021</t>
  </si>
  <si>
    <t>08/08/2021</t>
  </si>
  <si>
    <t>15/08/2021</t>
  </si>
  <si>
    <t>22/08/2021</t>
  </si>
  <si>
    <t>29/08/2021</t>
  </si>
  <si>
    <t>06142410141010</t>
  </si>
  <si>
    <t xml:space="preserve">ACTIVIDADES PETROLERAS DE EL SALVADOR S.A DE C.V </t>
  </si>
  <si>
    <t>06141708001052</t>
  </si>
  <si>
    <t>SERTRACEN S.A DE C.V.</t>
  </si>
  <si>
    <t>01062306811028</t>
  </si>
  <si>
    <t>ELIAS AQUINO GOMEZ</t>
  </si>
  <si>
    <t>09030806550024</t>
  </si>
  <si>
    <t>EFRAIN MEDARDO PEÑA</t>
  </si>
  <si>
    <t>06142610981012</t>
  </si>
  <si>
    <t>CTE TELECOM PERSONAL S.A DE C.V.</t>
  </si>
  <si>
    <t>05091606111014</t>
  </si>
  <si>
    <t>PULSEM DE C.V.</t>
  </si>
  <si>
    <t>15/07/2021</t>
  </si>
  <si>
    <t>06142505731094</t>
  </si>
  <si>
    <t>EDWARD LEONIDAS GUITIERREZ PORTILLO</t>
  </si>
  <si>
    <t>12171906520017</t>
  </si>
  <si>
    <t>RAFAEL RENE CANALES PINAUD</t>
  </si>
  <si>
    <t>03/07/2021</t>
  </si>
  <si>
    <t>10/07/2021</t>
  </si>
  <si>
    <t>09043007610018</t>
  </si>
  <si>
    <t>SAUL POCASANGRE ESCOBAR</t>
  </si>
  <si>
    <t>09031604801015</t>
  </si>
  <si>
    <t>ELIAS MISAEL GUZMAN FRANCO</t>
  </si>
  <si>
    <t>06142504941010</t>
  </si>
  <si>
    <t>JOMIGA, S.A DE C.V.</t>
  </si>
  <si>
    <t>16/07/2021</t>
  </si>
  <si>
    <t>06142008660025</t>
  </si>
  <si>
    <t>FRANCISCO JAVIER PORTILLO T</t>
  </si>
  <si>
    <t>06142805011034</t>
  </si>
  <si>
    <t>REPUESTOS IZALCO S.A DE C.V.</t>
  </si>
  <si>
    <t>06140607921022</t>
  </si>
  <si>
    <t>DISTRIBUIDORA JAR S.A DE C.V.</t>
  </si>
  <si>
    <t>06/07/2021</t>
  </si>
  <si>
    <t>19/07/2021</t>
  </si>
  <si>
    <t>06141403161033</t>
  </si>
  <si>
    <t>ECSA OPERADORA EL SALVADOR S.A DE C.V.</t>
  </si>
  <si>
    <t>06142407500017</t>
  </si>
  <si>
    <t>GUILLERMO E. MIGUEL B.</t>
  </si>
  <si>
    <t>06140804161013</t>
  </si>
  <si>
    <t>GRUPO ROMEN S.A DE C.V.</t>
  </si>
  <si>
    <t>06141106071025</t>
  </si>
  <si>
    <t>FARMACIAS EUROPEAS</t>
  </si>
  <si>
    <t>06143108061020</t>
  </si>
  <si>
    <t>PROVEEDORES DE INSUMOS DIVERSOS S.A DE C.V.</t>
  </si>
  <si>
    <t>05112411991017</t>
  </si>
  <si>
    <t>REPUESTOS NOE S.A DE C.V.</t>
  </si>
  <si>
    <t>12171609921018</t>
  </si>
  <si>
    <t>DISTRIBUIDORA PAREDES VELA S.A DE C.V.</t>
  </si>
  <si>
    <t>06143001780012</t>
  </si>
  <si>
    <t xml:space="preserve">LA CASA DEL REPUESTO S.A DE C.V. </t>
  </si>
  <si>
    <t>06140212971020</t>
  </si>
  <si>
    <t>MANEJO INTEGRAL DE DESECHOS SOLIDOS SEM DE C.V.</t>
  </si>
  <si>
    <t>06141202620014</t>
  </si>
  <si>
    <t>SEGUROS E INVERSIONES S.A</t>
  </si>
  <si>
    <t>10091907771010</t>
  </si>
  <si>
    <t>MIRIAN GAMEZ DE MENJIVAR</t>
  </si>
  <si>
    <t>13/07/2021</t>
  </si>
  <si>
    <t>07/07/2021</t>
  </si>
  <si>
    <t>12/07/2021</t>
  </si>
  <si>
    <t>06140103580052</t>
  </si>
  <si>
    <t>MIGUEL ANGEL WILLIAM ALFARO CABRERA</t>
  </si>
  <si>
    <t>09/07/2021</t>
  </si>
  <si>
    <t>05111408191011</t>
  </si>
  <si>
    <t>REPUESTOS CASTILLO S.A DE C.V.</t>
  </si>
  <si>
    <t>03010901761015</t>
  </si>
  <si>
    <t>JIMMY DOUGLAS ALVARADO RAMOS</t>
  </si>
  <si>
    <t>06142302770010</t>
  </si>
  <si>
    <t>ALPINA S.A DE C.V.</t>
  </si>
  <si>
    <t>06142003971032</t>
  </si>
  <si>
    <t>INDUSTRIAS MECANICAS DOS MIL S.A DE C.V.</t>
  </si>
  <si>
    <t>06140206001036</t>
  </si>
  <si>
    <t>LINEAS PUBLICITARIAS S.A DE C.V.</t>
  </si>
  <si>
    <t>15041RESIN308102020</t>
  </si>
  <si>
    <t>20SD000C</t>
  </si>
  <si>
    <t>15041RESIN436312021</t>
  </si>
  <si>
    <t>21DS000C</t>
  </si>
  <si>
    <t>15041RESIN437882018</t>
  </si>
  <si>
    <t>18SD000X</t>
  </si>
  <si>
    <t>15041RESIN197732018</t>
  </si>
  <si>
    <t>18SD000F</t>
  </si>
  <si>
    <t>435410</t>
  </si>
  <si>
    <t>435409</t>
  </si>
  <si>
    <t>435125</t>
  </si>
  <si>
    <t>1786</t>
  </si>
  <si>
    <t>1232</t>
  </si>
  <si>
    <t>4161</t>
  </si>
  <si>
    <t>01/06/2021</t>
  </si>
  <si>
    <t>21DS000U</t>
  </si>
  <si>
    <t>62208</t>
  </si>
  <si>
    <t>9937</t>
  </si>
  <si>
    <t>082021</t>
  </si>
  <si>
    <t>SEPTIEMBRE</t>
  </si>
  <si>
    <t>20/09/2021</t>
  </si>
  <si>
    <t>Total</t>
  </si>
  <si>
    <t>01/09/2021</t>
  </si>
  <si>
    <t>08/09/2021</t>
  </si>
  <si>
    <t>09/09/2021</t>
  </si>
  <si>
    <t>06141106141074</t>
  </si>
  <si>
    <t>CAEX LOGISTICS S.A DE C.V.</t>
  </si>
  <si>
    <t>13/09/2021</t>
  </si>
  <si>
    <t>16/09/2021</t>
  </si>
  <si>
    <t>17/09/2021</t>
  </si>
  <si>
    <t>18/09/2021</t>
  </si>
  <si>
    <t>21/09/2021</t>
  </si>
  <si>
    <t>29/09/2021</t>
  </si>
  <si>
    <t>/</t>
  </si>
  <si>
    <t>28/09/2021</t>
  </si>
  <si>
    <t>25/09/2021</t>
  </si>
  <si>
    <t>23/09/2021</t>
  </si>
  <si>
    <t>11/09/2021</t>
  </si>
  <si>
    <t>10/09/2021</t>
  </si>
  <si>
    <t>06/09/2021</t>
  </si>
  <si>
    <t>04/09/2021</t>
  </si>
  <si>
    <t>02/09/2021</t>
  </si>
  <si>
    <t>03/09/2021</t>
  </si>
  <si>
    <t>05/09/2021</t>
  </si>
  <si>
    <t>07/09/2021</t>
  </si>
  <si>
    <t>12/09/2021</t>
  </si>
  <si>
    <t>14/09/2021</t>
  </si>
  <si>
    <t>22/09/2021</t>
  </si>
  <si>
    <t>24/09/2021</t>
  </si>
  <si>
    <t>26/09/2021</t>
  </si>
  <si>
    <t>27/09/2021</t>
  </si>
  <si>
    <t>RAMIREZ VENTURA S.A DE C.V.</t>
  </si>
  <si>
    <t xml:space="preserve">SUPER REPUESTOS EL SALVADOR </t>
  </si>
  <si>
    <t>12172509901024</t>
  </si>
  <si>
    <t>REPUESTOS Y SERVICIOS AUTOMOTRICES, S.A DE C.V.</t>
  </si>
  <si>
    <t>06141101181086</t>
  </si>
  <si>
    <t>LABCA</t>
  </si>
  <si>
    <t>30/09/2021</t>
  </si>
  <si>
    <t>06023010921017</t>
  </si>
  <si>
    <t>TALLERES SOLDATOR S.A DE C.V.</t>
  </si>
  <si>
    <t>06142303911015</t>
  </si>
  <si>
    <t>TELEMOVIL EL SALVADOR S.A DE C.V.</t>
  </si>
  <si>
    <t>06140304941160</t>
  </si>
  <si>
    <t>DANIEL ALBETO RUBIO CARCAMO</t>
  </si>
  <si>
    <t>06142209111080</t>
  </si>
  <si>
    <t>REFILL S.A DE C.V.</t>
  </si>
  <si>
    <t>06141101690011</t>
  </si>
  <si>
    <t>CALLEJA S.A DE C.V.</t>
  </si>
  <si>
    <t>09082807751017</t>
  </si>
  <si>
    <t>JOSE ARMANDO LOPEZ LAINEZ</t>
  </si>
  <si>
    <t>OCTUBRE</t>
  </si>
  <si>
    <t>06143012981020</t>
  </si>
  <si>
    <t>06/10/2021</t>
  </si>
  <si>
    <t>INDUSTRIAS VICAL S.A DE C.V.</t>
  </si>
  <si>
    <t>02102701001014</t>
  </si>
  <si>
    <t>UNILLANTAS S.A DE C.V.</t>
  </si>
  <si>
    <t>430806</t>
  </si>
  <si>
    <t>430641</t>
  </si>
  <si>
    <t>430642</t>
  </si>
  <si>
    <t>3716</t>
  </si>
  <si>
    <t>4284</t>
  </si>
  <si>
    <t>2954</t>
  </si>
  <si>
    <t>2014</t>
  </si>
  <si>
    <t>4166</t>
  </si>
  <si>
    <t>1854425</t>
  </si>
  <si>
    <t>092021</t>
  </si>
  <si>
    <t>01/07/2021</t>
  </si>
  <si>
    <t>38</t>
  </si>
  <si>
    <t>122</t>
  </si>
  <si>
    <t>123</t>
  </si>
  <si>
    <t>124</t>
  </si>
  <si>
    <t>21/07/2021</t>
  </si>
  <si>
    <t>125</t>
  </si>
  <si>
    <t>126</t>
  </si>
  <si>
    <t>116</t>
  </si>
  <si>
    <t>117</t>
  </si>
  <si>
    <t>118</t>
  </si>
  <si>
    <t>09/06/2021</t>
  </si>
  <si>
    <t>119</t>
  </si>
  <si>
    <t>15/06/2021</t>
  </si>
  <si>
    <t>120</t>
  </si>
  <si>
    <t>16/06/2021</t>
  </si>
  <si>
    <t>121</t>
  </si>
  <si>
    <t>37</t>
  </si>
  <si>
    <t>03/05/2021</t>
  </si>
  <si>
    <t>111</t>
  </si>
  <si>
    <t>112</t>
  </si>
  <si>
    <t>113</t>
  </si>
  <si>
    <t>20/05/2021</t>
  </si>
  <si>
    <t>114</t>
  </si>
  <si>
    <t>115</t>
  </si>
  <si>
    <t>36</t>
  </si>
  <si>
    <t>ABRIL</t>
  </si>
  <si>
    <t>108</t>
  </si>
  <si>
    <t>109</t>
  </si>
  <si>
    <t>110</t>
  </si>
  <si>
    <t>35</t>
  </si>
  <si>
    <t>MARZO</t>
  </si>
  <si>
    <t>03/03/2021</t>
  </si>
  <si>
    <t>34</t>
  </si>
  <si>
    <t>04/03/2021</t>
  </si>
  <si>
    <t>105</t>
  </si>
  <si>
    <t>106</t>
  </si>
  <si>
    <t>17/03/2021</t>
  </si>
  <si>
    <t>107</t>
  </si>
  <si>
    <t>103</t>
  </si>
  <si>
    <t>26/10/2021</t>
  </si>
  <si>
    <t>25/10/2021</t>
  </si>
  <si>
    <t>21/10/2021</t>
  </si>
  <si>
    <t>18/10/2021</t>
  </si>
  <si>
    <t>12/10/2021</t>
  </si>
  <si>
    <t>09/10/2021</t>
  </si>
  <si>
    <t>08/10/2021</t>
  </si>
  <si>
    <t>05/10/2021</t>
  </si>
  <si>
    <t>04/10/2021</t>
  </si>
  <si>
    <t>19/10/2021</t>
  </si>
  <si>
    <t>31/10/2021</t>
  </si>
  <si>
    <t>28/10/2021</t>
  </si>
  <si>
    <t>24/10/2021</t>
  </si>
  <si>
    <t>23/10/2021</t>
  </si>
  <si>
    <t>20/10/2021</t>
  </si>
  <si>
    <t>17/10/2021</t>
  </si>
  <si>
    <t>16/10/2021</t>
  </si>
  <si>
    <t>15/10/2021</t>
  </si>
  <si>
    <t>14/10/2021</t>
  </si>
  <si>
    <t>13/10/2021</t>
  </si>
  <si>
    <t>10/10/2021</t>
  </si>
  <si>
    <t>07/10/2021</t>
  </si>
  <si>
    <t>03/10/2021</t>
  </si>
  <si>
    <t>02/10/2021</t>
  </si>
  <si>
    <t>01/10/2021</t>
  </si>
  <si>
    <t>30/10/2021</t>
  </si>
  <si>
    <t>27/10/2021</t>
  </si>
  <si>
    <t>22/10/2021</t>
  </si>
  <si>
    <t>11/10/2021</t>
  </si>
  <si>
    <t>06142307091063</t>
  </si>
  <si>
    <t>23/07/2021</t>
  </si>
  <si>
    <t>CENTROAMERICA COMERCIAL S.A DE C.V.</t>
  </si>
  <si>
    <t>26/07/2021</t>
  </si>
  <si>
    <t>06010811680011</t>
  </si>
  <si>
    <t>JOSE MARIA SALINAS DERAS</t>
  </si>
  <si>
    <t>06140103750012</t>
  </si>
  <si>
    <t>ALMACENES DE REPUESTOS MONTERREY</t>
  </si>
  <si>
    <t>OSCAR HUMBERTO RIVAS INTERIANO</t>
  </si>
  <si>
    <t>07091702731012</t>
  </si>
  <si>
    <t>SAMUEL ELIAS RIVAS MOZ</t>
  </si>
  <si>
    <t>06142905111010</t>
  </si>
  <si>
    <t>GRUPO VALMIX S.A DE C.V.</t>
  </si>
  <si>
    <t>06140711071030</t>
  </si>
  <si>
    <t xml:space="preserve">OD EL SALVADOR LIMITADA DE C.V </t>
  </si>
  <si>
    <t>06141411171030</t>
  </si>
  <si>
    <t>TEXAS GAS INTERNACIONAL, S.A DE C.V.</t>
  </si>
  <si>
    <t>06142001941055</t>
  </si>
  <si>
    <t>REPUESTOS MIGUELÑOS S.A DE C.V.</t>
  </si>
  <si>
    <t>29/10/2021</t>
  </si>
  <si>
    <t>06141306680052</t>
  </si>
  <si>
    <t>ALEXANDER ANTONIO CORNEJO</t>
  </si>
  <si>
    <t>07162602711019</t>
  </si>
  <si>
    <t>FREDY GUILLERMO CACERES RAFAELANO</t>
  </si>
  <si>
    <t>20/07/2021</t>
  </si>
  <si>
    <t>16SD000E</t>
  </si>
  <si>
    <t>8436</t>
  </si>
  <si>
    <t>8703</t>
  </si>
  <si>
    <t>8554</t>
  </si>
  <si>
    <t>8437</t>
  </si>
  <si>
    <t>3220</t>
  </si>
  <si>
    <t>3429</t>
  </si>
  <si>
    <t>26443</t>
  </si>
  <si>
    <t>5938</t>
  </si>
  <si>
    <t>6172</t>
  </si>
  <si>
    <t>5818</t>
  </si>
  <si>
    <t>1269</t>
  </si>
  <si>
    <t>1944</t>
  </si>
  <si>
    <t>520</t>
  </si>
  <si>
    <t>1499286</t>
  </si>
  <si>
    <t>913</t>
  </si>
  <si>
    <t>102021</t>
  </si>
  <si>
    <t>Total general</t>
  </si>
  <si>
    <t>Suma de VENTA TOTAL</t>
  </si>
  <si>
    <t>CUENTA</t>
  </si>
  <si>
    <t xml:space="preserve"> </t>
  </si>
  <si>
    <t>ESPACIO</t>
  </si>
  <si>
    <t>BUSCAR:</t>
  </si>
  <si>
    <t>Columna1</t>
  </si>
  <si>
    <t>NOVIEMBRE</t>
  </si>
  <si>
    <t>01/11/2021</t>
  </si>
  <si>
    <t>03/11/2021</t>
  </si>
  <si>
    <t>04/11/2021</t>
  </si>
  <si>
    <t>05/11/2021</t>
  </si>
  <si>
    <t>06/11/2021</t>
  </si>
  <si>
    <t>07/11/2021</t>
  </si>
  <si>
    <t>08/11/2021</t>
  </si>
  <si>
    <t>09/11/2021</t>
  </si>
  <si>
    <t>10/11/2021</t>
  </si>
  <si>
    <t>11/11/2021</t>
  </si>
  <si>
    <t>12/11/2021</t>
  </si>
  <si>
    <t>15/11/2021</t>
  </si>
  <si>
    <t>16/11/2021</t>
  </si>
  <si>
    <t>18/11/2021</t>
  </si>
  <si>
    <t>19/11/2021</t>
  </si>
  <si>
    <t>20/11/2021</t>
  </si>
  <si>
    <t>21/11/2021</t>
  </si>
  <si>
    <t>22/11/2021</t>
  </si>
  <si>
    <t>24/11/2021</t>
  </si>
  <si>
    <t>26/11/2021</t>
  </si>
  <si>
    <t>27/11/2021</t>
  </si>
  <si>
    <t>29/11/2021</t>
  </si>
  <si>
    <t>30/11/2021</t>
  </si>
  <si>
    <t>25/11/2021</t>
  </si>
  <si>
    <t>23/11/2021</t>
  </si>
  <si>
    <t>13/11/2021</t>
  </si>
  <si>
    <t>28/11/2021</t>
  </si>
  <si>
    <t>02/11/2021</t>
  </si>
  <si>
    <t>06141108001032</t>
  </si>
  <si>
    <t>UNION COMERCIAL S.A DE C.V.</t>
  </si>
  <si>
    <t>06141501590019</t>
  </si>
  <si>
    <t>LA IBERICA S.A DE C.V.</t>
  </si>
  <si>
    <t>17/11/2021</t>
  </si>
  <si>
    <t>44318</t>
  </si>
  <si>
    <t>44763</t>
  </si>
  <si>
    <t>44655</t>
  </si>
  <si>
    <t>1913</t>
  </si>
  <si>
    <t>21SD000E</t>
  </si>
  <si>
    <t>69</t>
  </si>
  <si>
    <t>3653</t>
  </si>
  <si>
    <t>64130</t>
  </si>
  <si>
    <t>1736</t>
  </si>
  <si>
    <t>DICIEMBRE</t>
  </si>
  <si>
    <t>01/12/2021</t>
  </si>
  <si>
    <t>02/12/2021</t>
  </si>
  <si>
    <t>03/12/2021</t>
  </si>
  <si>
    <t>04/12/2021</t>
  </si>
  <si>
    <t>06/12/2021</t>
  </si>
  <si>
    <t>07/12/2021</t>
  </si>
  <si>
    <t>08/12/2021</t>
  </si>
  <si>
    <t>09/12/2021</t>
  </si>
  <si>
    <t>10/12/2021</t>
  </si>
  <si>
    <t>11/12/2021</t>
  </si>
  <si>
    <t>12/12/2021</t>
  </si>
  <si>
    <t>13/12/2021</t>
  </si>
  <si>
    <t>14/12/2021</t>
  </si>
  <si>
    <t>15/12/2021</t>
  </si>
  <si>
    <t>16/12/2021</t>
  </si>
  <si>
    <t>17/12/2021</t>
  </si>
  <si>
    <t>18/12/2021</t>
  </si>
  <si>
    <t>20/12/2021</t>
  </si>
  <si>
    <t>21/12/2021</t>
  </si>
  <si>
    <t>22/12/2021</t>
  </si>
  <si>
    <t>26/12/2021</t>
  </si>
  <si>
    <t>27/12/2021</t>
  </si>
  <si>
    <t>28/12/2021</t>
  </si>
  <si>
    <t>29/12/2021</t>
  </si>
  <si>
    <t>31/12/2021</t>
  </si>
  <si>
    <t>30/12/2021</t>
  </si>
  <si>
    <t>24/12/2021</t>
  </si>
  <si>
    <t>OPERADORA DEL SUR S.A DE C.V.</t>
  </si>
  <si>
    <t>23/12/2021</t>
  </si>
  <si>
    <t>06142102971044</t>
  </si>
  <si>
    <t>COMPAÑÍA TELECOMUNICACIONES DE LE SALVADOR</t>
  </si>
  <si>
    <t>02102603710016</t>
  </si>
  <si>
    <t>RAF S.A DE C.V.</t>
  </si>
  <si>
    <t>06143101860017</t>
  </si>
  <si>
    <t>REPUESTOS CANAHUATI S.A DE C.V.</t>
  </si>
  <si>
    <t>06140112820027</t>
  </si>
  <si>
    <t>HOTEL PRELAC S.A DE C.V.</t>
  </si>
  <si>
    <t>14081402711011</t>
  </si>
  <si>
    <t>SERVICENTRO PUMA PRESIDENCIAL</t>
  </si>
  <si>
    <t>06142305771172</t>
  </si>
  <si>
    <t>SALVADOR ANTONIO ESCOBAR DURAN</t>
  </si>
  <si>
    <t>2022</t>
  </si>
  <si>
    <t>14/01/2022</t>
  </si>
  <si>
    <t>ENERO</t>
  </si>
  <si>
    <t>13/01/2022</t>
  </si>
  <si>
    <t>12/01/2022</t>
  </si>
  <si>
    <t>11/01/2022</t>
  </si>
  <si>
    <t>10/01/2022</t>
  </si>
  <si>
    <t>09/01/2022</t>
  </si>
  <si>
    <t>06/01/2022</t>
  </si>
  <si>
    <t>05/01/2022</t>
  </si>
  <si>
    <t>04/01/2022</t>
  </si>
  <si>
    <t>03/01/2022</t>
  </si>
  <si>
    <t>02/01/2022</t>
  </si>
  <si>
    <t>31/01/2022</t>
  </si>
  <si>
    <t>30/01/2022</t>
  </si>
  <si>
    <t>29/01/2022</t>
  </si>
  <si>
    <t>28/01/2022</t>
  </si>
  <si>
    <t>27/01/2022</t>
  </si>
  <si>
    <t>25/01/2022</t>
  </si>
  <si>
    <t>24/01/2022</t>
  </si>
  <si>
    <t>23/01/2022</t>
  </si>
  <si>
    <t>20/01/2022</t>
  </si>
  <si>
    <t>18/01/2022</t>
  </si>
  <si>
    <t>17/01/2022</t>
  </si>
  <si>
    <t>16/01/2022</t>
  </si>
  <si>
    <t>22/01/2022</t>
  </si>
  <si>
    <t>21/01/2022</t>
  </si>
  <si>
    <t>19/01/2022</t>
  </si>
  <si>
    <t>15/01/2022</t>
  </si>
  <si>
    <t>08/01/2022</t>
  </si>
  <si>
    <t>06140210081052</t>
  </si>
  <si>
    <t>FERRETERIA EPA S.A DE C.V.</t>
  </si>
  <si>
    <t>06141008661043</t>
  </si>
  <si>
    <t>DAVID CANAHUATI PINEDA</t>
  </si>
  <si>
    <t>06142401941054</t>
  </si>
  <si>
    <t>MOLDTROK, S.A DE C.V.</t>
  </si>
  <si>
    <t>07/01/2022</t>
  </si>
  <si>
    <t>21/55/2022</t>
  </si>
  <si>
    <t>10100107701012</t>
  </si>
  <si>
    <t>OMAR SAUL MERINO ROMERO</t>
  </si>
  <si>
    <t>26/01/2022</t>
  </si>
  <si>
    <t>21DS000F</t>
  </si>
  <si>
    <t>21/01/2021</t>
  </si>
  <si>
    <t>184142</t>
  </si>
  <si>
    <t>184143</t>
  </si>
  <si>
    <t>184210</t>
  </si>
  <si>
    <t>6393</t>
  </si>
  <si>
    <t>7025</t>
  </si>
  <si>
    <t>6702</t>
  </si>
  <si>
    <t>3013</t>
  </si>
  <si>
    <t>2742</t>
  </si>
  <si>
    <t>3101</t>
  </si>
  <si>
    <t>DUI</t>
  </si>
  <si>
    <t>FEBRERO</t>
  </si>
  <si>
    <t>Columna2</t>
  </si>
  <si>
    <t>Columna5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</si>
</sst>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1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b/>
      <sz val="9"/>
      <color rgb="FF333333"/>
      <name val="Arial"/>
      <family val="2"/>
    </font>
    <font>
      <sz val="48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98">
    <xf numFmtId="0" fontId="0" fillId="0" borderId="0" xfId="0"/>
    <xf numFmtId="49" fontId="0" fillId="0" borderId="0" xfId="0" applyNumberFormat="1"/>
    <xf numFmtId="0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0" fontId="0" fillId="0" borderId="0" xfId="0" applyAlignment="1"/>
    <xf numFmtId="0" fontId="5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49" fontId="5" fillId="0" borderId="5" xfId="0" applyNumberFormat="1" applyFont="1" applyBorder="1" applyAlignment="1">
      <alignment horizontal="right"/>
    </xf>
    <xf numFmtId="44" fontId="7" fillId="0" borderId="5" xfId="1" applyFont="1" applyBorder="1" applyAlignment="1">
      <alignment horizontal="right"/>
    </xf>
    <xf numFmtId="44" fontId="7" fillId="2" borderId="5" xfId="1" applyFont="1" applyFill="1" applyBorder="1" applyAlignment="1">
      <alignment horizontal="right"/>
    </xf>
    <xf numFmtId="49" fontId="7" fillId="0" borderId="6" xfId="0" applyNumberFormat="1" applyFont="1" applyBorder="1" applyAlignment="1">
      <alignment horizontal="right"/>
    </xf>
    <xf numFmtId="0" fontId="5" fillId="3" borderId="4" xfId="0" applyFont="1" applyFill="1" applyBorder="1" applyAlignment="1">
      <alignment horizontal="center"/>
    </xf>
    <xf numFmtId="49" fontId="7" fillId="3" borderId="5" xfId="0" applyNumberFormat="1" applyFont="1" applyFill="1" applyBorder="1" applyAlignment="1">
      <alignment horizontal="center"/>
    </xf>
    <xf numFmtId="44" fontId="7" fillId="3" borderId="5" xfId="1" applyFont="1" applyFill="1" applyBorder="1" applyAlignment="1">
      <alignment horizontal="right"/>
    </xf>
    <xf numFmtId="49" fontId="7" fillId="0" borderId="5" xfId="0" applyNumberFormat="1" applyFont="1" applyBorder="1" applyAlignment="1">
      <alignment horizontal="right"/>
    </xf>
    <xf numFmtId="49" fontId="7" fillId="0" borderId="5" xfId="0" applyNumberFormat="1" applyFont="1" applyFill="1" applyBorder="1" applyAlignment="1">
      <alignment horizontal="center"/>
    </xf>
    <xf numFmtId="0" fontId="7" fillId="3" borderId="5" xfId="0" applyFont="1" applyFill="1" applyBorder="1" applyAlignment="1"/>
    <xf numFmtId="0" fontId="7" fillId="0" borderId="5" xfId="1" applyNumberFormat="1" applyFont="1" applyFill="1" applyBorder="1" applyAlignment="1"/>
    <xf numFmtId="49" fontId="7" fillId="3" borderId="5" xfId="1" applyNumberFormat="1" applyFont="1" applyFill="1" applyBorder="1" applyAlignment="1">
      <alignment horizontal="center"/>
    </xf>
    <xf numFmtId="44" fontId="7" fillId="0" borderId="5" xfId="1" applyFont="1" applyFill="1" applyBorder="1" applyAlignment="1">
      <alignment horizontal="right"/>
    </xf>
    <xf numFmtId="0" fontId="7" fillId="0" borderId="5" xfId="1" applyNumberFormat="1" applyFont="1" applyBorder="1" applyAlignment="1"/>
    <xf numFmtId="44" fontId="7" fillId="0" borderId="5" xfId="1" applyNumberFormat="1" applyFont="1" applyBorder="1" applyAlignment="1">
      <alignment horizontal="right"/>
    </xf>
    <xf numFmtId="49" fontId="7" fillId="0" borderId="6" xfId="1" applyNumberFormat="1" applyFont="1" applyBorder="1" applyAlignment="1">
      <alignment horizontal="right"/>
    </xf>
    <xf numFmtId="49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7" fillId="0" borderId="5" xfId="1" applyNumberFormat="1" applyFont="1" applyFill="1" applyBorder="1" applyAlignment="1">
      <alignment horizontal="right"/>
    </xf>
    <xf numFmtId="44" fontId="7" fillId="0" borderId="5" xfId="1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7" xfId="0" applyFont="1" applyBorder="1"/>
    <xf numFmtId="0" fontId="8" fillId="4" borderId="7" xfId="0" applyFont="1" applyFill="1" applyBorder="1"/>
    <xf numFmtId="2" fontId="0" fillId="0" borderId="0" xfId="0" applyNumberFormat="1"/>
    <xf numFmtId="49" fontId="0" fillId="5" borderId="0" xfId="0" applyNumberFormat="1" applyFill="1"/>
    <xf numFmtId="2" fontId="0" fillId="5" borderId="0" xfId="0" applyNumberFormat="1" applyFill="1"/>
    <xf numFmtId="0" fontId="0" fillId="5" borderId="0" xfId="0" applyFill="1"/>
    <xf numFmtId="2" fontId="0" fillId="0" borderId="0" xfId="0" applyNumberFormat="1" applyAlignment="1">
      <alignment horizontal="right"/>
    </xf>
    <xf numFmtId="44" fontId="0" fillId="0" borderId="8" xfId="1" applyFont="1" applyBorder="1" applyAlignment="1">
      <alignment vertical="center"/>
    </xf>
    <xf numFmtId="44" fontId="0" fillId="0" borderId="9" xfId="1" applyFont="1" applyBorder="1" applyAlignment="1">
      <alignment vertical="center"/>
    </xf>
    <xf numFmtId="44" fontId="0" fillId="0" borderId="9" xfId="1" applyFont="1" applyBorder="1"/>
    <xf numFmtId="0" fontId="0" fillId="0" borderId="9" xfId="0" applyBorder="1"/>
    <xf numFmtId="44" fontId="0" fillId="0" borderId="11" xfId="1" applyFont="1" applyBorder="1" applyAlignment="1">
      <alignment vertical="center"/>
    </xf>
    <xf numFmtId="44" fontId="0" fillId="0" borderId="0" xfId="1" applyFont="1" applyBorder="1" applyAlignment="1">
      <alignment vertical="center"/>
    </xf>
    <xf numFmtId="44" fontId="0" fillId="0" borderId="0" xfId="1" applyFont="1" applyBorder="1"/>
    <xf numFmtId="44" fontId="0" fillId="6" borderId="1" xfId="1" applyFont="1" applyFill="1" applyBorder="1"/>
    <xf numFmtId="0" fontId="0" fillId="0" borderId="0" xfId="0" applyBorder="1"/>
    <xf numFmtId="44" fontId="10" fillId="0" borderId="0" xfId="1" applyFont="1" applyBorder="1"/>
    <xf numFmtId="44" fontId="0" fillId="0" borderId="8" xfId="1" applyFont="1" applyBorder="1"/>
    <xf numFmtId="44" fontId="0" fillId="0" borderId="10" xfId="1" applyFont="1" applyBorder="1"/>
    <xf numFmtId="44" fontId="0" fillId="0" borderId="13" xfId="1" applyFont="1" applyBorder="1"/>
    <xf numFmtId="164" fontId="0" fillId="0" borderId="13" xfId="0" applyNumberFormat="1" applyBorder="1"/>
    <xf numFmtId="44" fontId="3" fillId="0" borderId="11" xfId="1" applyFont="1" applyBorder="1"/>
    <xf numFmtId="44" fontId="0" fillId="0" borderId="12" xfId="1" applyFont="1" applyBorder="1"/>
    <xf numFmtId="0" fontId="0" fillId="0" borderId="12" xfId="0" applyBorder="1"/>
    <xf numFmtId="0" fontId="0" fillId="0" borderId="14" xfId="0" applyBorder="1"/>
    <xf numFmtId="44" fontId="3" fillId="0" borderId="15" xfId="1" applyFont="1" applyBorder="1" applyAlignment="1">
      <alignment vertical="center"/>
    </xf>
    <xf numFmtId="44" fontId="0" fillId="0" borderId="11" xfId="1" applyFont="1" applyBorder="1"/>
    <xf numFmtId="44" fontId="0" fillId="0" borderId="14" xfId="1" applyFont="1" applyBorder="1"/>
    <xf numFmtId="44" fontId="0" fillId="0" borderId="2" xfId="1" applyFont="1" applyBorder="1"/>
    <xf numFmtId="0" fontId="3" fillId="0" borderId="1" xfId="0" applyFont="1" applyBorder="1" applyAlignment="1">
      <alignment horizontal="center"/>
    </xf>
    <xf numFmtId="0" fontId="0" fillId="0" borderId="3" xfId="0" applyBorder="1"/>
    <xf numFmtId="44" fontId="10" fillId="0" borderId="13" xfId="1" applyFont="1" applyBorder="1" applyAlignment="1">
      <alignment vertical="center"/>
    </xf>
    <xf numFmtId="44" fontId="3" fillId="0" borderId="16" xfId="1" applyFont="1" applyBorder="1" applyAlignment="1">
      <alignment vertical="center"/>
    </xf>
    <xf numFmtId="44" fontId="0" fillId="6" borderId="14" xfId="1" applyFont="1" applyFill="1" applyBorder="1"/>
    <xf numFmtId="44" fontId="0" fillId="0" borderId="12" xfId="1" applyFont="1" applyBorder="1" applyAlignment="1">
      <alignment vertical="center"/>
    </xf>
    <xf numFmtId="0" fontId="7" fillId="3" borderId="5" xfId="0" applyNumberFormat="1" applyFont="1" applyFill="1" applyBorder="1" applyAlignment="1">
      <alignment horizontal="right"/>
    </xf>
    <xf numFmtId="44" fontId="0" fillId="0" borderId="0" xfId="0" applyNumberFormat="1"/>
    <xf numFmtId="0" fontId="12" fillId="0" borderId="0" xfId="0" applyFont="1"/>
    <xf numFmtId="49" fontId="11" fillId="0" borderId="0" xfId="0" applyNumberFormat="1" applyFont="1" applyAlignment="1">
      <alignment horizontal="right"/>
    </xf>
    <xf numFmtId="49" fontId="12" fillId="0" borderId="0" xfId="0" applyNumberFormat="1" applyFont="1"/>
    <xf numFmtId="0" fontId="0" fillId="0" borderId="0" xfId="0" applyAlignment="1">
      <alignment horizontal="left"/>
    </xf>
    <xf numFmtId="44" fontId="4" fillId="0" borderId="0" xfId="1" applyFont="1" applyFill="1"/>
    <xf numFmtId="0" fontId="0" fillId="0" borderId="0" xfId="0" pivotButton="1"/>
    <xf numFmtId="0" fontId="0" fillId="8" borderId="0" xfId="0" applyFill="1"/>
    <xf numFmtId="44" fontId="0" fillId="8" borderId="0" xfId="1" applyFont="1" applyFill="1"/>
    <xf numFmtId="0" fontId="12" fillId="8" borderId="0" xfId="0" applyFont="1" applyFill="1"/>
    <xf numFmtId="0" fontId="7" fillId="3" borderId="5" xfId="0" applyNumberFormat="1" applyFont="1" applyFill="1" applyBorder="1" applyAlignment="1">
      <alignment horizontal="center"/>
    </xf>
    <xf numFmtId="44" fontId="9" fillId="0" borderId="18" xfId="1" applyFont="1" applyBorder="1" applyAlignment="1">
      <alignment horizontal="center" vertical="center"/>
    </xf>
    <xf numFmtId="44" fontId="9" fillId="0" borderId="19" xfId="1" applyFont="1" applyBorder="1" applyAlignment="1">
      <alignment horizontal="center" vertical="center"/>
    </xf>
    <xf numFmtId="44" fontId="9" fillId="0" borderId="17" xfId="1" applyFont="1" applyBorder="1" applyAlignment="1">
      <alignment horizontal="center" vertical="center"/>
    </xf>
    <xf numFmtId="44" fontId="9" fillId="0" borderId="12" xfId="1" applyFont="1" applyBorder="1" applyAlignment="1">
      <alignment horizontal="center" vertical="center"/>
    </xf>
    <xf numFmtId="44" fontId="9" fillId="0" borderId="0" xfId="1" applyFont="1" applyBorder="1" applyAlignment="1">
      <alignment horizontal="center" vertical="center"/>
    </xf>
    <xf numFmtId="44" fontId="9" fillId="0" borderId="11" xfId="1" applyFont="1" applyBorder="1" applyAlignment="1">
      <alignment horizontal="center" vertical="center"/>
    </xf>
    <xf numFmtId="44" fontId="9" fillId="0" borderId="10" xfId="1" applyFont="1" applyBorder="1" applyAlignment="1">
      <alignment horizontal="center" vertical="center"/>
    </xf>
    <xf numFmtId="44" fontId="9" fillId="0" borderId="9" xfId="1" applyFont="1" applyBorder="1" applyAlignment="1">
      <alignment horizontal="center" vertical="center"/>
    </xf>
    <xf numFmtId="44" fontId="9" fillId="0" borderId="8" xfId="1" applyFont="1" applyBorder="1" applyAlignment="1">
      <alignment horizontal="center" vertical="center"/>
    </xf>
    <xf numFmtId="17" fontId="0" fillId="0" borderId="19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44" fontId="3" fillId="7" borderId="18" xfId="1" applyFont="1" applyFill="1" applyBorder="1" applyAlignment="1">
      <alignment horizontal="center" vertical="center"/>
    </xf>
    <xf numFmtId="44" fontId="3" fillId="7" borderId="17" xfId="1" applyFont="1" applyFill="1" applyBorder="1" applyAlignment="1">
      <alignment horizontal="center" vertical="center"/>
    </xf>
    <xf numFmtId="44" fontId="3" fillId="7" borderId="10" xfId="1" applyFont="1" applyFill="1" applyBorder="1" applyAlignment="1">
      <alignment horizontal="center" vertical="center"/>
    </xf>
    <xf numFmtId="44" fontId="3" fillId="7" borderId="8" xfId="1" applyFont="1" applyFill="1" applyBorder="1" applyAlignment="1">
      <alignment horizontal="center" vertical="center"/>
    </xf>
    <xf numFmtId="44" fontId="3" fillId="0" borderId="16" xfId="1" applyFont="1" applyBorder="1" applyAlignment="1">
      <alignment horizontal="center" vertical="center"/>
    </xf>
    <xf numFmtId="44" fontId="3" fillId="0" borderId="13" xfId="1" applyFont="1" applyBorder="1" applyAlignment="1">
      <alignment horizontal="center" vertical="center"/>
    </xf>
    <xf numFmtId="44" fontId="3" fillId="5" borderId="16" xfId="1" applyFont="1" applyFill="1" applyBorder="1" applyAlignment="1">
      <alignment horizontal="center" vertical="center"/>
    </xf>
    <xf numFmtId="44" fontId="3" fillId="5" borderId="13" xfId="1" applyFont="1" applyFill="1" applyBorder="1" applyAlignment="1">
      <alignment horizontal="center" vertical="center"/>
    </xf>
    <xf numFmtId="44" fontId="10" fillId="0" borderId="16" xfId="1" applyFont="1" applyBorder="1" applyAlignment="1">
      <alignment horizontal="center" vertical="center"/>
    </xf>
    <xf numFmtId="44" fontId="10" fillId="0" borderId="13" xfId="1" applyFont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65"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numFmt numFmtId="34" formatCode="_-&quot;$&quot;* #,##0.00_-;\-&quot;$&quot;* #,##0.00_-;_-&quot;$&quot;* &quot;-&quot;??_-;_-@_-"/>
    </dxf>
    <dxf>
      <numFmt numFmtId="0" formatCode="General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0" formatCode="General"/>
    </dxf>
    <dxf>
      <numFmt numFmtId="34" formatCode="_-&quot;$&quot;* #,##0.00_-;\-&quot;$&quot;* #,##0.00_-;_-&quot;$&quot;* &quot;-&quot;??_-;_-@_-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../../../../PLANTILLAS%20IVA%20F-07v9.10.xlsm" TargetMode="External"/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tribuyente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1</xdr:row>
      <xdr:rowOff>104775</xdr:rowOff>
    </xdr:from>
    <xdr:to>
      <xdr:col>4</xdr:col>
      <xdr:colOff>161925</xdr:colOff>
      <xdr:row>19</xdr:row>
      <xdr:rowOff>161925</xdr:rowOff>
    </xdr:to>
    <xdr:sp macro="" textlink="">
      <xdr:nvSpPr>
        <xdr:cNvPr id="4" name="3 Rectángulo redondeado"/>
        <xdr:cNvSpPr/>
      </xdr:nvSpPr>
      <xdr:spPr>
        <a:xfrm>
          <a:off x="600075" y="295275"/>
          <a:ext cx="2962275" cy="348615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705972</xdr:colOff>
      <xdr:row>22</xdr:row>
      <xdr:rowOff>179293</xdr:rowOff>
    </xdr:from>
    <xdr:to>
      <xdr:col>3</xdr:col>
      <xdr:colOff>784412</xdr:colOff>
      <xdr:row>24</xdr:row>
      <xdr:rowOff>145675</xdr:rowOff>
    </xdr:to>
    <xdr:sp macro="" textlink="">
      <xdr:nvSpPr>
        <xdr:cNvPr id="2" name="1 Bisel">
          <a:hlinkClick xmlns:r="http://schemas.openxmlformats.org/officeDocument/2006/relationships" r:id="rId1"/>
        </xdr:cNvPr>
        <xdr:cNvSpPr/>
      </xdr:nvSpPr>
      <xdr:spPr>
        <a:xfrm>
          <a:off x="1467972" y="4370293"/>
          <a:ext cx="12550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582706</xdr:colOff>
      <xdr:row>0</xdr:row>
      <xdr:rowOff>67235</xdr:rowOff>
    </xdr:from>
    <xdr:to>
      <xdr:col>4</xdr:col>
      <xdr:colOff>156882</xdr:colOff>
      <xdr:row>1</xdr:row>
      <xdr:rowOff>33618</xdr:rowOff>
    </xdr:to>
    <xdr:sp macro="" textlink="">
      <xdr:nvSpPr>
        <xdr:cNvPr id="3" name="2 Rectángulo redondeado"/>
        <xdr:cNvSpPr/>
      </xdr:nvSpPr>
      <xdr:spPr>
        <a:xfrm>
          <a:off x="582706" y="67235"/>
          <a:ext cx="2924735" cy="593912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20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>
    <xdr:from>
      <xdr:col>6</xdr:col>
      <xdr:colOff>56030</xdr:colOff>
      <xdr:row>6</xdr:row>
      <xdr:rowOff>22412</xdr:rowOff>
    </xdr:from>
    <xdr:to>
      <xdr:col>7</xdr:col>
      <xdr:colOff>381000</xdr:colOff>
      <xdr:row>7</xdr:row>
      <xdr:rowOff>134471</xdr:rowOff>
    </xdr:to>
    <xdr:sp macro="" textlink="">
      <xdr:nvSpPr>
        <xdr:cNvPr id="7" name="6 Bisel">
          <a:hlinkClick xmlns:r="http://schemas.openxmlformats.org/officeDocument/2006/relationships" r:id="rId2"/>
        </xdr:cNvPr>
        <xdr:cNvSpPr/>
      </xdr:nvSpPr>
      <xdr:spPr>
        <a:xfrm>
          <a:off x="5165912" y="1613647"/>
          <a:ext cx="1086970" cy="302559"/>
        </a:xfrm>
        <a:prstGeom prst="bevel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DECLARACION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85725</xdr:rowOff>
        </xdr:from>
        <xdr:to>
          <xdr:col>3</xdr:col>
          <xdr:colOff>1447800</xdr:colOff>
          <xdr:row>22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20</xdr:row>
          <xdr:rowOff>114300</xdr:rowOff>
        </xdr:from>
        <xdr:to>
          <xdr:col>3</xdr:col>
          <xdr:colOff>123825</xdr:colOff>
          <xdr:row>22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19050</xdr:rowOff>
        </xdr:from>
        <xdr:to>
          <xdr:col>7</xdr:col>
          <xdr:colOff>466725</xdr:colOff>
          <xdr:row>1</xdr:row>
          <xdr:rowOff>57150</xdr:rowOff>
        </xdr:to>
        <xdr:sp macro="" textlink="">
          <xdr:nvSpPr>
            <xdr:cNvPr id="14338" name="TextBox1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515471</xdr:colOff>
      <xdr:row>0</xdr:row>
      <xdr:rowOff>952499</xdr:rowOff>
    </xdr:from>
    <xdr:to>
      <xdr:col>4</xdr:col>
      <xdr:colOff>161925</xdr:colOff>
      <xdr:row>19</xdr:row>
      <xdr:rowOff>104774</xdr:rowOff>
    </xdr:to>
    <xdr:sp macro="" textlink="">
      <xdr:nvSpPr>
        <xdr:cNvPr id="5" name="4 Rectángulo redondeado">
          <a:hlinkClick xmlns:r="http://schemas.openxmlformats.org/officeDocument/2006/relationships" r:id="rId1"/>
        </xdr:cNvPr>
        <xdr:cNvSpPr/>
      </xdr:nvSpPr>
      <xdr:spPr>
        <a:xfrm>
          <a:off x="515471" y="952499"/>
          <a:ext cx="3400425" cy="3735481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537883</xdr:colOff>
      <xdr:row>0</xdr:row>
      <xdr:rowOff>134471</xdr:rowOff>
    </xdr:from>
    <xdr:to>
      <xdr:col>4</xdr:col>
      <xdr:colOff>168088</xdr:colOff>
      <xdr:row>0</xdr:row>
      <xdr:rowOff>874059</xdr:rowOff>
    </xdr:to>
    <xdr:sp macro="" textlink="">
      <xdr:nvSpPr>
        <xdr:cNvPr id="8" name="7 Rectángulo redondeado"/>
        <xdr:cNvSpPr/>
      </xdr:nvSpPr>
      <xdr:spPr>
        <a:xfrm>
          <a:off x="537883" y="134471"/>
          <a:ext cx="3384176" cy="739588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76200</xdr:rowOff>
        </xdr:from>
        <xdr:to>
          <xdr:col>3</xdr:col>
          <xdr:colOff>1695450</xdr:colOff>
          <xdr:row>21</xdr:row>
          <xdr:rowOff>171450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76200</xdr:rowOff>
        </xdr:from>
        <xdr:to>
          <xdr:col>2</xdr:col>
          <xdr:colOff>219075</xdr:colOff>
          <xdr:row>21</xdr:row>
          <xdr:rowOff>161925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</xdr:colOff>
      <xdr:row>0</xdr:row>
      <xdr:rowOff>0</xdr:rowOff>
    </xdr:from>
    <xdr:to>
      <xdr:col>6</xdr:col>
      <xdr:colOff>342900</xdr:colOff>
      <xdr:row>4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FECH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19675" y="0"/>
              <a:ext cx="1828800" cy="942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/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327770</xdr:colOff>
      <xdr:row>21</xdr:row>
      <xdr:rowOff>167528</xdr:rowOff>
    </xdr:from>
    <xdr:to>
      <xdr:col>7</xdr:col>
      <xdr:colOff>462241</xdr:colOff>
      <xdr:row>22</xdr:row>
      <xdr:rowOff>201145</xdr:rowOff>
    </xdr:to>
    <xdr:sp macro="[2]!LimpiarConsumi" textlink="">
      <xdr:nvSpPr>
        <xdr:cNvPr id="3" name="2 Bisel"/>
        <xdr:cNvSpPr/>
      </xdr:nvSpPr>
      <xdr:spPr>
        <a:xfrm>
          <a:off x="5370417" y="4986057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4</xdr:col>
      <xdr:colOff>264456</xdr:colOff>
      <xdr:row>22</xdr:row>
      <xdr:rowOff>2802</xdr:rowOff>
    </xdr:from>
    <xdr:to>
      <xdr:col>5</xdr:col>
      <xdr:colOff>634251</xdr:colOff>
      <xdr:row>23</xdr:row>
      <xdr:rowOff>25213</xdr:rowOff>
    </xdr:to>
    <xdr:sp macro="[2]!DatosConsumi" textlink="">
      <xdr:nvSpPr>
        <xdr:cNvPr id="7" name="6 Bisel"/>
        <xdr:cNvSpPr/>
      </xdr:nvSpPr>
      <xdr:spPr>
        <a:xfrm>
          <a:off x="4018427" y="5011831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504265</xdr:colOff>
      <xdr:row>0</xdr:row>
      <xdr:rowOff>78441</xdr:rowOff>
    </xdr:from>
    <xdr:to>
      <xdr:col>4</xdr:col>
      <xdr:colOff>134470</xdr:colOff>
      <xdr:row>0</xdr:row>
      <xdr:rowOff>818029</xdr:rowOff>
    </xdr:to>
    <xdr:sp macro="" textlink="">
      <xdr:nvSpPr>
        <xdr:cNvPr id="5" name="4 Rectángulo redondeado"/>
        <xdr:cNvSpPr/>
      </xdr:nvSpPr>
      <xdr:spPr>
        <a:xfrm>
          <a:off x="504265" y="78441"/>
          <a:ext cx="3384176" cy="739588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CONSUMIDOR FINAL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novo/Desktop/CLIENTES%20DE%20IVA/BASE%20DE%20CLIENTES%20IVA%20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novo/Desktop/CATALOGOS/CATALOGO%20SERV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DE PROVEEDORES"/>
      <sheetName val="Hoja1"/>
    </sheetNames>
    <sheetDataSet>
      <sheetData sheetId="0">
        <row r="1">
          <cell r="A1" t="str">
            <v>NIT</v>
          </cell>
          <cell r="B1" t="str">
            <v>PROVEEDOR</v>
          </cell>
        </row>
        <row r="2">
          <cell r="A2" t="str">
            <v>02023112741019</v>
          </cell>
          <cell r="B2" t="str">
            <v>OLGA ELIZABETH RIVAS DE ORELLANA</v>
          </cell>
        </row>
        <row r="3">
          <cell r="A3" t="str">
            <v>02040305560017</v>
          </cell>
          <cell r="B3" t="str">
            <v xml:space="preserve">RICARDO E.G SANTOS </v>
          </cell>
        </row>
        <row r="4">
          <cell r="A4" t="str">
            <v>02071902091019</v>
          </cell>
          <cell r="B4" t="str">
            <v>EL INDIO S.A DE C.V</v>
          </cell>
        </row>
        <row r="5">
          <cell r="A5" t="str">
            <v>02100108750017</v>
          </cell>
          <cell r="B5" t="str">
            <v xml:space="preserve">CARLOS EDUARDO MARTINEZ </v>
          </cell>
        </row>
        <row r="6">
          <cell r="A6" t="str">
            <v>02101810771036</v>
          </cell>
          <cell r="B6" t="str">
            <v>JOSE OMAR CARPIO ALARCON</v>
          </cell>
        </row>
        <row r="7">
          <cell r="A7" t="str">
            <v>02101911710016</v>
          </cell>
          <cell r="B7" t="str">
            <v>ALMACENES VIDRI, S.A DE C.V.</v>
          </cell>
        </row>
        <row r="8">
          <cell r="A8" t="str">
            <v>02102309931011</v>
          </cell>
          <cell r="B8" t="str">
            <v xml:space="preserve">ELECTRO INDUSTRIALES EL PACIFICO S.A DE C.V </v>
          </cell>
        </row>
        <row r="9">
          <cell r="A9" t="str">
            <v>02102701001014</v>
          </cell>
          <cell r="B9" t="str">
            <v>UNILLANTAS S.A DE C.V.</v>
          </cell>
        </row>
        <row r="10">
          <cell r="A10" t="str">
            <v>02102908061017</v>
          </cell>
          <cell r="B10" t="str">
            <v xml:space="preserve">V &amp; G DE EL SALVADOR S.A DE C.V </v>
          </cell>
        </row>
        <row r="11">
          <cell r="A11" t="str">
            <v>02133003651018</v>
          </cell>
          <cell r="B11" t="str">
            <v>JOSE ADAN MAGAÑA</v>
          </cell>
        </row>
        <row r="12">
          <cell r="A12" t="str">
            <v>03020203061023</v>
          </cell>
          <cell r="B12" t="str">
            <v xml:space="preserve">ELEKTROLAZER S.A DE C.V </v>
          </cell>
        </row>
        <row r="13">
          <cell r="A13" t="str">
            <v>03062109801018</v>
          </cell>
          <cell r="B13" t="str">
            <v>DOUGLAS ORLANDO TEPATA TEPATA</v>
          </cell>
        </row>
        <row r="14">
          <cell r="A14" t="str">
            <v>03150309971011</v>
          </cell>
          <cell r="B14" t="str">
            <v>SO S.A DE C.V.</v>
          </cell>
        </row>
        <row r="15">
          <cell r="A15" t="str">
            <v>03151608560012</v>
          </cell>
          <cell r="B15" t="str">
            <v xml:space="preserve">JORGE ALBERTO LUNA </v>
          </cell>
        </row>
        <row r="16">
          <cell r="A16" t="str">
            <v>04072309650015</v>
          </cell>
          <cell r="B16" t="str">
            <v>ULISES RODRIGUEZ SOSA</v>
          </cell>
        </row>
        <row r="17">
          <cell r="A17" t="str">
            <v>04161506530021</v>
          </cell>
          <cell r="B17" t="str">
            <v>NOELIA TEJADA DE REYES</v>
          </cell>
        </row>
        <row r="18">
          <cell r="A18" t="str">
            <v>04312511630011</v>
          </cell>
          <cell r="B18" t="str">
            <v xml:space="preserve">MARIA LIDUVINA CARDOZA </v>
          </cell>
        </row>
        <row r="19">
          <cell r="A19" t="str">
            <v>05030412821038</v>
          </cell>
          <cell r="B19" t="str">
            <v>JOSE GUILLERMO CRUZ PAREDES</v>
          </cell>
        </row>
        <row r="20">
          <cell r="A20" t="str">
            <v>05032201151020</v>
          </cell>
          <cell r="B20" t="str">
            <v>ELECTRICOS OMEGA S.A DE C.V.</v>
          </cell>
        </row>
        <row r="21">
          <cell r="A21" t="str">
            <v>05043110741013</v>
          </cell>
          <cell r="B21" t="str">
            <v>OSCAR HUMBERTO RIVAS INTERIANO</v>
          </cell>
        </row>
        <row r="22">
          <cell r="A22" t="str">
            <v>05062912691016</v>
          </cell>
          <cell r="B22" t="str">
            <v xml:space="preserve">DAVID EVORA GUZMAN </v>
          </cell>
        </row>
        <row r="23">
          <cell r="A23" t="str">
            <v>05081710540010</v>
          </cell>
          <cell r="B23" t="str">
            <v xml:space="preserve">MARCOS ANTONIO PORTILLO </v>
          </cell>
        </row>
        <row r="24">
          <cell r="A24" t="str">
            <v>05090101650011</v>
          </cell>
          <cell r="B24" t="str">
            <v>ISRAEL ALVARADO</v>
          </cell>
        </row>
        <row r="25">
          <cell r="A25" t="str">
            <v>05091510071011</v>
          </cell>
          <cell r="B25" t="str">
            <v>AGROFERRETERIA SAN RAFAEL</v>
          </cell>
        </row>
        <row r="26">
          <cell r="A26" t="str">
            <v>05091606111014</v>
          </cell>
          <cell r="B26" t="str">
            <v>PULSEM DE C.V.</v>
          </cell>
        </row>
        <row r="27">
          <cell r="A27" t="str">
            <v>05092604480012</v>
          </cell>
          <cell r="B27" t="str">
            <v>ROBERTO HERNANDEZ MENJIVAR</v>
          </cell>
        </row>
        <row r="28">
          <cell r="A28" t="str">
            <v>05110610820011</v>
          </cell>
          <cell r="B28" t="str">
            <v>EL SURCO S.A DE C.V</v>
          </cell>
        </row>
        <row r="29">
          <cell r="A29" t="str">
            <v>05111302771027</v>
          </cell>
          <cell r="B29" t="str">
            <v>JOSE RIGOBERTO CORDOBA BARRERA</v>
          </cell>
        </row>
        <row r="30">
          <cell r="A30" t="str">
            <v>005703912</v>
          </cell>
          <cell r="B30" t="str">
            <v>JOSE RICARDO ANTONIO MOLINA</v>
          </cell>
        </row>
        <row r="31">
          <cell r="A31" t="str">
            <v>05112105901012</v>
          </cell>
          <cell r="B31" t="str">
            <v xml:space="preserve">SUMER S.A DE C.V </v>
          </cell>
        </row>
        <row r="32">
          <cell r="A32" t="str">
            <v>05112411991017</v>
          </cell>
          <cell r="B32" t="str">
            <v>REPUESTOS NOE S.A DE C.V.</v>
          </cell>
        </row>
        <row r="33">
          <cell r="A33" t="str">
            <v>05120305630027</v>
          </cell>
          <cell r="B33" t="str">
            <v>TONY ALBERTO PEREZ</v>
          </cell>
        </row>
        <row r="34">
          <cell r="A34" t="str">
            <v>06023010921017</v>
          </cell>
          <cell r="B34" t="str">
            <v>TALLERES SOLDATOR S.A DE C.V.</v>
          </cell>
        </row>
        <row r="35">
          <cell r="A35" t="str">
            <v>06140101840022</v>
          </cell>
          <cell r="B35" t="str">
            <v>INDUPAL S.A DE C.V</v>
          </cell>
        </row>
        <row r="36">
          <cell r="A36" t="str">
            <v>06140102001050</v>
          </cell>
          <cell r="B36" t="str">
            <v>COMPRES, S.A DE C.V.</v>
          </cell>
        </row>
        <row r="37">
          <cell r="A37" t="str">
            <v>06140104620021</v>
          </cell>
          <cell r="B37" t="str">
            <v xml:space="preserve">TALLER DIDEA S.A DE C.V </v>
          </cell>
        </row>
        <row r="38">
          <cell r="A38" t="str">
            <v>06140108580017</v>
          </cell>
          <cell r="B38" t="str">
            <v>FREUND S.A DE C.V.</v>
          </cell>
        </row>
        <row r="39">
          <cell r="A39" t="str">
            <v>06140109770045</v>
          </cell>
          <cell r="B39" t="str">
            <v>AGDO, S.A</v>
          </cell>
        </row>
        <row r="40">
          <cell r="A40" t="str">
            <v>06140205031020</v>
          </cell>
          <cell r="B40" t="str">
            <v>TESSA S.A DE C.V.</v>
          </cell>
        </row>
        <row r="41">
          <cell r="A41" t="str">
            <v>06140207081033</v>
          </cell>
          <cell r="B41" t="str">
            <v>POWER SUPPLY S.A DE C.V</v>
          </cell>
        </row>
        <row r="42">
          <cell r="A42" t="str">
            <v>06140209111053</v>
          </cell>
          <cell r="B42" t="str">
            <v>Vip Marketing, S.A de C.V.</v>
          </cell>
        </row>
        <row r="43">
          <cell r="A43" t="str">
            <v>06140212971020</v>
          </cell>
          <cell r="B43" t="str">
            <v>MANEJO INTEGRAL DE DESECHOS SOLIDOS SEM DE C.V.</v>
          </cell>
        </row>
        <row r="44">
          <cell r="A44" t="str">
            <v>06140302870017</v>
          </cell>
          <cell r="B44" t="str">
            <v>ACEROS Y SALES SALVADOREÑOS S.A DE C.V.</v>
          </cell>
        </row>
        <row r="45">
          <cell r="A45" t="str">
            <v>06140310061067</v>
          </cell>
          <cell r="B45" t="str">
            <v xml:space="preserve">PROVEEDORA ELECTRICA DE EL SALVADOR S.A DE CV. </v>
          </cell>
        </row>
        <row r="46">
          <cell r="A46" t="str">
            <v>06140311171036</v>
          </cell>
          <cell r="B46" t="str">
            <v>SOLARTECH CENTROAMERICA S.A DE C.V</v>
          </cell>
        </row>
        <row r="47">
          <cell r="A47" t="str">
            <v>06140311991017</v>
          </cell>
          <cell r="B47" t="str">
            <v>AGROQUIMICA INTERNACIONAL S.A DE C.V</v>
          </cell>
        </row>
        <row r="48">
          <cell r="A48" t="str">
            <v>06140402001010</v>
          </cell>
          <cell r="B48" t="str">
            <v xml:space="preserve">STAR MAIL S.A DE C.V </v>
          </cell>
        </row>
        <row r="49">
          <cell r="A49" t="str">
            <v>06140409670019</v>
          </cell>
          <cell r="B49" t="str">
            <v>STEINER S.A DE C.V</v>
          </cell>
        </row>
        <row r="50">
          <cell r="A50" t="str">
            <v>06140410011032</v>
          </cell>
          <cell r="B50" t="str">
            <v>ACERO NOPA STEEL S.A DE C.V.</v>
          </cell>
        </row>
        <row r="51">
          <cell r="A51" t="str">
            <v>06140509171066</v>
          </cell>
          <cell r="B51" t="str">
            <v xml:space="preserve">AQUASISTEMAS DE EL SALVADOR S.A DE C.V </v>
          </cell>
        </row>
        <row r="52">
          <cell r="A52" t="str">
            <v>06140602031037</v>
          </cell>
          <cell r="B52" t="str">
            <v>FONDO DE ACTIVIDADES ESPECIALES</v>
          </cell>
        </row>
        <row r="53">
          <cell r="A53" t="str">
            <v>06140607161028</v>
          </cell>
          <cell r="B53" t="str">
            <v>PROVEEDORA DE RODAMIENTOS S.A DE C.V.</v>
          </cell>
        </row>
        <row r="54">
          <cell r="A54" t="str">
            <v>06140611750055</v>
          </cell>
          <cell r="B54" t="str">
            <v>TECNICA UNIVERSAL SALVADOREÑA S.A DE C.V</v>
          </cell>
        </row>
        <row r="55">
          <cell r="A55" t="str">
            <v>06140705651014</v>
          </cell>
          <cell r="B55" t="str">
            <v xml:space="preserve">FELIX RAMIREZ ABREGO </v>
          </cell>
        </row>
        <row r="56">
          <cell r="A56" t="str">
            <v>06140705901331</v>
          </cell>
          <cell r="B56" t="str">
            <v>WILLIAM JOSE GUEVARA</v>
          </cell>
        </row>
        <row r="57">
          <cell r="A57" t="str">
            <v>06140706891011</v>
          </cell>
          <cell r="B57" t="str">
            <v>PROYECTOS DE METAL MECANICA S.A DE C.V.</v>
          </cell>
        </row>
        <row r="58">
          <cell r="A58" t="str">
            <v>06140707061020</v>
          </cell>
          <cell r="B58" t="str">
            <v>CALDEGA S.A DE C.V.</v>
          </cell>
        </row>
        <row r="59">
          <cell r="A59" t="str">
            <v>06140711071030</v>
          </cell>
          <cell r="B59" t="str">
            <v xml:space="preserve">OD EL SALVADOR LIMITADA DE C.V </v>
          </cell>
        </row>
        <row r="60">
          <cell r="A60" t="str">
            <v>06140803111012</v>
          </cell>
          <cell r="B60" t="str">
            <v xml:space="preserve">CELASA INGENIERIAS Y EQUIPOS S.A DE C.V </v>
          </cell>
        </row>
        <row r="61">
          <cell r="A61" t="str">
            <v>06140804161013</v>
          </cell>
          <cell r="B61" t="str">
            <v>GRUPO ROMEN S.A DE C.V.</v>
          </cell>
        </row>
        <row r="62">
          <cell r="A62" t="str">
            <v>06140806720015</v>
          </cell>
          <cell r="B62" t="str">
            <v xml:space="preserve">BANCO CUSCATLAN S.A </v>
          </cell>
        </row>
        <row r="63">
          <cell r="A63" t="str">
            <v>06140807141021</v>
          </cell>
          <cell r="B63" t="str">
            <v xml:space="preserve">SEGURIDAD E INVERSIONES S.A DE C.V </v>
          </cell>
        </row>
        <row r="64">
          <cell r="A64" t="str">
            <v>06140807770026</v>
          </cell>
          <cell r="B64" t="str">
            <v>MAPRIMA S.A DE C.V.</v>
          </cell>
        </row>
        <row r="65">
          <cell r="A65" t="str">
            <v>06140902091023</v>
          </cell>
          <cell r="B65" t="str">
            <v xml:space="preserve">DISTRIBUIDORA B &amp; P S.A DE C.V </v>
          </cell>
        </row>
        <row r="66">
          <cell r="A66" t="str">
            <v>06140911041039</v>
          </cell>
          <cell r="B66" t="str">
            <v>IMPORTADORA DEL RIO S.A DE C.V</v>
          </cell>
        </row>
        <row r="67">
          <cell r="A67" t="str">
            <v>06141007011010</v>
          </cell>
          <cell r="B67" t="str">
            <v xml:space="preserve">CHIA HO HSING S.A DE C.V </v>
          </cell>
        </row>
        <row r="68">
          <cell r="A68" t="str">
            <v>06141008901028</v>
          </cell>
          <cell r="B68" t="str">
            <v>TRANPORTES PESADOS S.A DE C.V.</v>
          </cell>
        </row>
        <row r="69">
          <cell r="A69" t="str">
            <v>06141106660010</v>
          </cell>
          <cell r="B69" t="str">
            <v>HENRIQUEZ S.A DE C.V.</v>
          </cell>
        </row>
        <row r="70">
          <cell r="A70" t="str">
            <v>06141107870011</v>
          </cell>
          <cell r="B70" t="str">
            <v>COVI S.A DE C.V.</v>
          </cell>
        </row>
        <row r="71">
          <cell r="A71" t="str">
            <v>06141108001032</v>
          </cell>
          <cell r="B71" t="str">
            <v>UNION COMERCIAL S.A DE C.V.</v>
          </cell>
        </row>
        <row r="72">
          <cell r="A72" t="str">
            <v>06141211810023</v>
          </cell>
          <cell r="B72" t="str">
            <v>GRUPO SOLID S.A DE C.V</v>
          </cell>
        </row>
        <row r="73">
          <cell r="A73" t="str">
            <v>06141301840030</v>
          </cell>
          <cell r="B73" t="str">
            <v xml:space="preserve">SOLVENTES E INTERMEDIOS INDUSTRIALES S.A DE C.V </v>
          </cell>
        </row>
        <row r="74">
          <cell r="A74" t="str">
            <v>06141306680052</v>
          </cell>
          <cell r="B74" t="str">
            <v>ALEXANDER ANTONIO CORNEJO</v>
          </cell>
        </row>
        <row r="75">
          <cell r="A75" t="str">
            <v>06141307760018</v>
          </cell>
          <cell r="B75" t="str">
            <v>REPRESENTACIONES DIVERSAS S.A DE C.V.</v>
          </cell>
        </row>
        <row r="76">
          <cell r="A76" t="str">
            <v>06141311131065</v>
          </cell>
          <cell r="B76" t="str">
            <v>INVERSIONES ASIATICAS S.A DE C.V</v>
          </cell>
        </row>
        <row r="77">
          <cell r="A77" t="str">
            <v>06141312850038</v>
          </cell>
          <cell r="B77" t="str">
            <v>IMPRESSA S.A DE C.V.</v>
          </cell>
        </row>
        <row r="78">
          <cell r="A78" t="str">
            <v>06141402051099</v>
          </cell>
          <cell r="B78" t="str">
            <v xml:space="preserve">JEA S.A DE C.V. </v>
          </cell>
        </row>
        <row r="79">
          <cell r="A79" t="str">
            <v>06141402370078</v>
          </cell>
          <cell r="B79" t="str">
            <v>CEPA S.A DE C.V</v>
          </cell>
        </row>
        <row r="80">
          <cell r="A80" t="str">
            <v>06141402560013</v>
          </cell>
          <cell r="B80" t="str">
            <v>FERRETERIA LA PALMA S.A DE C.V.</v>
          </cell>
        </row>
        <row r="81">
          <cell r="A81" t="str">
            <v>06141403161033</v>
          </cell>
          <cell r="B81" t="str">
            <v>ECSA OPERADORA EL SALVADOR S.A DE C.V.</v>
          </cell>
        </row>
        <row r="82">
          <cell r="A82" t="str">
            <v>06141404161045</v>
          </cell>
          <cell r="B82" t="str">
            <v>GRUPO FERRESAL Y JM CONSTRUCCIONES</v>
          </cell>
        </row>
        <row r="83">
          <cell r="A83" t="str">
            <v>06141401821222</v>
          </cell>
          <cell r="B83" t="str">
            <v>INVERSIONES LEMUS S.A DE C.V.</v>
          </cell>
        </row>
        <row r="84">
          <cell r="A84" t="str">
            <v>06141407830018</v>
          </cell>
          <cell r="B84" t="str">
            <v xml:space="preserve">LA CENTRAL DE SEGUROS Y FIANZAS S.A DE C.V </v>
          </cell>
        </row>
        <row r="85">
          <cell r="A85" t="str">
            <v>06141408711090</v>
          </cell>
          <cell r="B85" t="str">
            <v>BENJAMIN ALFREDO ABARCA</v>
          </cell>
        </row>
        <row r="86">
          <cell r="A86" t="str">
            <v>06141409121050</v>
          </cell>
          <cell r="B86" t="str">
            <v>CAMPOS ESCOBAR S.A DE C.V.</v>
          </cell>
        </row>
        <row r="87">
          <cell r="A87" t="str">
            <v>06141412921024</v>
          </cell>
          <cell r="B87" t="str">
            <v xml:space="preserve">INVERSIONES VIDA S.A DE C.V </v>
          </cell>
        </row>
        <row r="88">
          <cell r="A88" t="str">
            <v>06141501850054</v>
          </cell>
          <cell r="B88" t="str">
            <v xml:space="preserve">GALVANIS S.A DE C.V </v>
          </cell>
        </row>
        <row r="89">
          <cell r="A89" t="str">
            <v>06141509891057</v>
          </cell>
          <cell r="B89" t="str">
            <v xml:space="preserve">F.ROLANDO CANIZALES </v>
          </cell>
        </row>
        <row r="90">
          <cell r="A90" t="str">
            <v>06141601800012</v>
          </cell>
          <cell r="B90" t="str">
            <v>LA CASA DEL SOLDADOR S.A DE C.V.</v>
          </cell>
        </row>
        <row r="91">
          <cell r="A91" t="str">
            <v>06141606691119</v>
          </cell>
          <cell r="B91" t="str">
            <v>CARLOS ROBERTO HERNANDEZ</v>
          </cell>
        </row>
        <row r="92">
          <cell r="A92" t="str">
            <v>06141608021030</v>
          </cell>
          <cell r="B92" t="str">
            <v>GRIFERIA Y CERRADURAS INTERNACIONALES S.A DE C.V</v>
          </cell>
        </row>
        <row r="93">
          <cell r="A93" t="str">
            <v>06141608111039</v>
          </cell>
          <cell r="B93" t="str">
            <v>GRUPO SANTA SOFIA, S.A DE C.V.</v>
          </cell>
        </row>
        <row r="94">
          <cell r="A94" t="str">
            <v>06141611951013</v>
          </cell>
          <cell r="B94" t="str">
            <v>DISTRIBUIDORA DE ELECTRICIDAD DELSUR</v>
          </cell>
        </row>
        <row r="95">
          <cell r="A95" t="str">
            <v>06141612991019</v>
          </cell>
          <cell r="B95" t="str">
            <v xml:space="preserve">DISTRIBUIDORA DE LUBRICANTES Y COMBUSTIBLES S.A DE C.V </v>
          </cell>
        </row>
        <row r="96">
          <cell r="A96" t="str">
            <v>06141702061037</v>
          </cell>
          <cell r="B96" t="str">
            <v>TORCO INDUSTRIAL S.A DE C.V.</v>
          </cell>
        </row>
        <row r="97">
          <cell r="A97" t="str">
            <v>06141703061090</v>
          </cell>
          <cell r="B97" t="str">
            <v xml:space="preserve">SUMINISTROS Y FERETERIA GENESIS S.A DE C.V. </v>
          </cell>
        </row>
        <row r="98">
          <cell r="A98" t="str">
            <v>06141705790011</v>
          </cell>
          <cell r="B98" t="str">
            <v>INVERCALMA S.A DE C.V.</v>
          </cell>
        </row>
        <row r="99">
          <cell r="A99" t="str">
            <v>06141807011060</v>
          </cell>
          <cell r="B99" t="str">
            <v>CORIASA S.A DE C.V.</v>
          </cell>
        </row>
        <row r="100">
          <cell r="A100" t="str">
            <v>06141807051010</v>
          </cell>
          <cell r="B100" t="str">
            <v>FRIOAIRE S.A DE C.V.</v>
          </cell>
        </row>
        <row r="101">
          <cell r="A101" t="str">
            <v>06141902730011</v>
          </cell>
          <cell r="B101" t="str">
            <v>PRODUCTOS AGROQUIMICOS DE CENTROAMERICA</v>
          </cell>
        </row>
        <row r="102">
          <cell r="A102" t="str">
            <v>06142001101022</v>
          </cell>
          <cell r="B102" t="str">
            <v>DISTRIBUIDORA DE PROVEEDORES DE PETROLEOS</v>
          </cell>
        </row>
        <row r="103">
          <cell r="A103" t="str">
            <v>06142006031022</v>
          </cell>
          <cell r="B103" t="str">
            <v>FERRUSAL S.A DE C.V.</v>
          </cell>
        </row>
        <row r="104">
          <cell r="A104" t="str">
            <v>06142007911239</v>
          </cell>
          <cell r="B104" t="str">
            <v xml:space="preserve">ESTELA BEATRIZ ALAS </v>
          </cell>
        </row>
        <row r="105">
          <cell r="A105" t="str">
            <v>06142009161075</v>
          </cell>
          <cell r="B105" t="str">
            <v>COMERCIAL E.C.A. S.A DE C.V.</v>
          </cell>
        </row>
        <row r="106">
          <cell r="A106" t="str">
            <v>06142101111025</v>
          </cell>
          <cell r="B106" t="str">
            <v>RODAMIENTOS DE CENTROAMERICAS S.A DE C.V.</v>
          </cell>
        </row>
        <row r="107">
          <cell r="A107" t="str">
            <v>06142201071012</v>
          </cell>
          <cell r="B107" t="str">
            <v>IMGRAL S.A DE C.V.</v>
          </cell>
        </row>
        <row r="108">
          <cell r="A108" t="str">
            <v>06142202770023</v>
          </cell>
          <cell r="B108" t="str">
            <v>INFRA DE EL SALVADOR, S.A DE C.V.</v>
          </cell>
        </row>
        <row r="109">
          <cell r="A109" t="str">
            <v>06142302770010</v>
          </cell>
          <cell r="B109" t="str">
            <v>ALPINA S.A DE C.V.</v>
          </cell>
        </row>
        <row r="110">
          <cell r="A110" t="str">
            <v>06142303911015</v>
          </cell>
          <cell r="B110" t="str">
            <v>TELEMOVIL EL SALVADOR S.A DE C.V.</v>
          </cell>
        </row>
        <row r="111">
          <cell r="A111" t="str">
            <v>06142403770051</v>
          </cell>
          <cell r="B111" t="str">
            <v>ANA GLADYS CORDOBA</v>
          </cell>
        </row>
        <row r="112">
          <cell r="A112" t="str">
            <v>06142410141010</v>
          </cell>
          <cell r="B112" t="str">
            <v xml:space="preserve">ACTIVIDADES PETROLERAS DE EL SALVADOR S.A DE C.V </v>
          </cell>
        </row>
        <row r="113">
          <cell r="A113" t="str">
            <v>06142506670028</v>
          </cell>
          <cell r="B113" t="str">
            <v xml:space="preserve">CORINA MARGARITA MENDEZ DE SOSA </v>
          </cell>
        </row>
        <row r="114">
          <cell r="A114" t="str">
            <v>06142603981015</v>
          </cell>
          <cell r="B114" t="str">
            <v>CEMEX EL SALVADOR, S.A DE C.V.</v>
          </cell>
        </row>
        <row r="115">
          <cell r="A115" t="str">
            <v>06142604071063</v>
          </cell>
          <cell r="B115" t="str">
            <v>INVERSIONES RAMIREZ QUINTANILLA S.A DE C.V.</v>
          </cell>
        </row>
        <row r="116">
          <cell r="A116" t="str">
            <v>06142609701090</v>
          </cell>
          <cell r="B116" t="str">
            <v xml:space="preserve">SAMUEL ARMANDO DUBON </v>
          </cell>
        </row>
        <row r="117">
          <cell r="A117" t="str">
            <v>06142609941015</v>
          </cell>
          <cell r="B117" t="str">
            <v xml:space="preserve">COMDISANPABLO S.A DE C.V </v>
          </cell>
        </row>
        <row r="118">
          <cell r="A118" t="str">
            <v>06142610201025</v>
          </cell>
          <cell r="B118" t="str">
            <v>RODAMIENTOS Y REPUESTOS PARA MOTOCICLETA</v>
          </cell>
        </row>
        <row r="119">
          <cell r="A119" t="str">
            <v>06142610981012</v>
          </cell>
          <cell r="B119" t="str">
            <v>CTE TELECOM PERSONAL S.A DE C.V.</v>
          </cell>
        </row>
        <row r="120">
          <cell r="A120" t="str">
            <v>06142709061020</v>
          </cell>
          <cell r="B120" t="str">
            <v>SOLUCIONES Y HERRAMIENTAS S.A DE C.V.</v>
          </cell>
        </row>
        <row r="121">
          <cell r="A121" t="str">
            <v>06142710780023</v>
          </cell>
          <cell r="B121" t="str">
            <v>QUIMICA INDUSTRIAL S.A DE C.V.</v>
          </cell>
        </row>
        <row r="122">
          <cell r="A122" t="str">
            <v>06142711870044</v>
          </cell>
          <cell r="B122" t="str">
            <v>PROMOTORA COMERCIAL, S.A DE C.V.</v>
          </cell>
        </row>
        <row r="123">
          <cell r="A123" t="str">
            <v>06142803171026</v>
          </cell>
          <cell r="B123" t="str">
            <v xml:space="preserve">COPPER GROUP S.A DE C.V </v>
          </cell>
        </row>
        <row r="124">
          <cell r="A124" t="str">
            <v>06142805011034</v>
          </cell>
          <cell r="B124" t="str">
            <v>REPUESTOS IZALCO S.A DE C.V.</v>
          </cell>
        </row>
        <row r="125">
          <cell r="A125" t="str">
            <v>06142807810010</v>
          </cell>
          <cell r="B125" t="str">
            <v>TRANVA S.A DE C.V.</v>
          </cell>
        </row>
        <row r="126">
          <cell r="A126" t="str">
            <v>06142809061036</v>
          </cell>
          <cell r="B126" t="str">
            <v xml:space="preserve">DURECO DE EL SALVADOR S.A DE C.V </v>
          </cell>
        </row>
        <row r="127">
          <cell r="A127" t="str">
            <v>06142809981046</v>
          </cell>
          <cell r="B127" t="str">
            <v>CORPORACION ACME  S.A DE C.V.</v>
          </cell>
        </row>
        <row r="128">
          <cell r="A128" t="str">
            <v>06142810061058</v>
          </cell>
          <cell r="B128" t="str">
            <v xml:space="preserve">CELULOSA Y COLORANTES EL SALVADOR S.A DE C.V </v>
          </cell>
        </row>
        <row r="129">
          <cell r="A129" t="str">
            <v>06143001780012</v>
          </cell>
          <cell r="B129" t="str">
            <v xml:space="preserve">LA CASA DEL REPUESTO S.A DE C.V. </v>
          </cell>
        </row>
        <row r="130">
          <cell r="A130" t="str">
            <v>06143006991022</v>
          </cell>
          <cell r="B130" t="str">
            <v>AMERICAN PETROLEUM DE EL SALVADOR S.A DE C.V.</v>
          </cell>
        </row>
        <row r="131">
          <cell r="A131" t="str">
            <v>06143011931011</v>
          </cell>
          <cell r="B131" t="str">
            <v>DISTRIBUIDORA GRANADA S.A DE C.V</v>
          </cell>
        </row>
        <row r="132">
          <cell r="A132" t="str">
            <v>06143012871071</v>
          </cell>
          <cell r="B132" t="str">
            <v>CORINA MARGARITA SOSA DE HERNANDEZ</v>
          </cell>
        </row>
        <row r="133">
          <cell r="A133" t="str">
            <v>06143101750030</v>
          </cell>
          <cell r="B133" t="str">
            <v>PEDREDA PROTERSA, S.A DE C.V.</v>
          </cell>
        </row>
        <row r="134">
          <cell r="A134" t="str">
            <v>06143108061020</v>
          </cell>
          <cell r="B134" t="str">
            <v>PROVEEDORES DE INSUMOS DIVERSOS S.A DE C.V.</v>
          </cell>
        </row>
        <row r="135">
          <cell r="A135" t="str">
            <v>06161109771010</v>
          </cell>
          <cell r="B135" t="str">
            <v xml:space="preserve">CLAUDIA BEATRIZ PERALTA </v>
          </cell>
        </row>
        <row r="136">
          <cell r="A136" t="str">
            <v>07021712941025</v>
          </cell>
          <cell r="B136" t="str">
            <v>EMELY BEATRIZ AGUILAR MARTINEZ</v>
          </cell>
        </row>
        <row r="137">
          <cell r="A137" t="str">
            <v>08150103801010</v>
          </cell>
          <cell r="B137" t="str">
            <v>JOSE ROBERTO PINEDA HERNANDEZ</v>
          </cell>
        </row>
        <row r="138">
          <cell r="A138" t="str">
            <v>08210805530029</v>
          </cell>
          <cell r="B138" t="str">
            <v>MIGUEL NICOMEDES ANTONIO ABARCA BARRERA</v>
          </cell>
        </row>
        <row r="139">
          <cell r="A139" t="str">
            <v>08211906711010</v>
          </cell>
          <cell r="B139" t="str">
            <v>VILLALTA ALVARENGA MARCO ANTONIO</v>
          </cell>
        </row>
        <row r="140">
          <cell r="A140" t="str">
            <v>08212209761021</v>
          </cell>
          <cell r="B140" t="str">
            <v>OSCAR MAURICIO MENJIVAR</v>
          </cell>
        </row>
        <row r="141">
          <cell r="A141" t="str">
            <v>09030806550024</v>
          </cell>
          <cell r="B141" t="str">
            <v>EFRAIN MEDARDO PEÑA</v>
          </cell>
        </row>
        <row r="142">
          <cell r="A142" t="str">
            <v>09042007670016</v>
          </cell>
          <cell r="B142" t="str">
            <v>JOSE ELIAS CASTELLANOS ARTIGA</v>
          </cell>
        </row>
        <row r="143">
          <cell r="A143" t="str">
            <v>10100911580029</v>
          </cell>
          <cell r="B143" t="str">
            <v xml:space="preserve">HUGO OSSIRIS AYALA </v>
          </cell>
        </row>
        <row r="144">
          <cell r="A144" t="str">
            <v>12171609921018</v>
          </cell>
          <cell r="B144" t="str">
            <v>DISTRIBUIDORA PAREDES VELA S.A DE C.V.</v>
          </cell>
        </row>
        <row r="145">
          <cell r="A145" t="str">
            <v>12172509901024</v>
          </cell>
          <cell r="B145" t="str">
            <v>REPUESTOS Y SERVICIOS AUTOMOTRICES, S.A DE C.V.</v>
          </cell>
        </row>
        <row r="146">
          <cell r="A146" t="str">
            <v>13153101741036</v>
          </cell>
          <cell r="B146" t="str">
            <v>WILFREDO ANTONIO ARGUETA RAMOS</v>
          </cell>
        </row>
        <row r="147">
          <cell r="A147" t="str">
            <v>14052604531015</v>
          </cell>
          <cell r="B147" t="str">
            <v>MARCOS REYES PALACIOS</v>
          </cell>
        </row>
        <row r="148">
          <cell r="A148" t="str">
            <v>14152702711018</v>
          </cell>
          <cell r="B148" t="str">
            <v>OSMAR ANTONIO PORTILLO</v>
          </cell>
        </row>
        <row r="149">
          <cell r="A149" t="str">
            <v>14182903801011</v>
          </cell>
          <cell r="B149" t="str">
            <v>CARLOS ERNESTO GUTIERREZ BENITEZ</v>
          </cell>
        </row>
        <row r="150">
          <cell r="A150" t="str">
            <v>14082309500010</v>
          </cell>
          <cell r="B150" t="str">
            <v>LUIS ANTONIO BENITEZ HIDALGO</v>
          </cell>
        </row>
        <row r="151">
          <cell r="A151" t="str">
            <v>06122308121011</v>
          </cell>
          <cell r="B151" t="str">
            <v>AUTOCONTROL S.A DE C.V.</v>
          </cell>
        </row>
        <row r="152">
          <cell r="A152" t="str">
            <v>06140611870024</v>
          </cell>
          <cell r="B152" t="str">
            <v>MONOLIT DE EL SALVADOR S.A DE C.V.</v>
          </cell>
        </row>
        <row r="153">
          <cell r="A153" t="str">
            <v>06142809931049</v>
          </cell>
          <cell r="B153" t="str">
            <v>GENERAL DE VEHICULOS S.A DE C.V.</v>
          </cell>
        </row>
        <row r="154">
          <cell r="A154" t="str">
            <v>06141612021044</v>
          </cell>
          <cell r="B154" t="str">
            <v>LUIGEMI S.A DE C.V.</v>
          </cell>
        </row>
        <row r="155">
          <cell r="A155" t="str">
            <v>02101809761019</v>
          </cell>
          <cell r="B155" t="str">
            <v>ALEJANDRO FRANCISCO MONTOYA GIRON</v>
          </cell>
        </row>
        <row r="156">
          <cell r="A156" t="str">
            <v>06140207670045</v>
          </cell>
          <cell r="B156" t="str">
            <v>MARIO ALBERTO MIRANDA FONSECA</v>
          </cell>
        </row>
        <row r="157">
          <cell r="A157" t="str">
            <v>06142904630160</v>
          </cell>
          <cell r="B157" t="str">
            <v>ASETCA</v>
          </cell>
        </row>
        <row r="158">
          <cell r="A158" t="str">
            <v>06141511720027</v>
          </cell>
          <cell r="B158" t="str">
            <v xml:space="preserve">SUPER REPUESTOS EL SALVADOR </v>
          </cell>
        </row>
        <row r="159">
          <cell r="A159" t="str">
            <v>06141708001052</v>
          </cell>
          <cell r="B159" t="str">
            <v>SERTRACEN S.A DE C.V.</v>
          </cell>
        </row>
        <row r="160">
          <cell r="A160" t="str">
            <v>06141205111012</v>
          </cell>
          <cell r="B160" t="str">
            <v>CORPORACION LEMUS S.A DE C.V.</v>
          </cell>
        </row>
        <row r="161">
          <cell r="A161" t="str">
            <v>06140204810014</v>
          </cell>
          <cell r="B161" t="str">
            <v>MUNFRE S.A DE C.V.</v>
          </cell>
        </row>
        <row r="162">
          <cell r="A162" t="str">
            <v>02102203191019</v>
          </cell>
          <cell r="B162" t="str">
            <v>REPUESTOS ALSAN S.A DE C.V.</v>
          </cell>
        </row>
        <row r="163">
          <cell r="A163" t="str">
            <v>06140202111023</v>
          </cell>
          <cell r="B163" t="str">
            <v>REPUESTOS E IMPORTACIONES ACEITUNO</v>
          </cell>
        </row>
        <row r="164">
          <cell r="A164" t="str">
            <v>06141502131049</v>
          </cell>
          <cell r="B164" t="str">
            <v>LLANTAS Y ACCESORIOS S.A DE C.V.</v>
          </cell>
        </row>
        <row r="165">
          <cell r="A165" t="str">
            <v>06141707870010</v>
          </cell>
          <cell r="B165" t="str">
            <v>MYERS DE EL SALVADOR S.A DE C.V.</v>
          </cell>
        </row>
        <row r="166">
          <cell r="A166" t="str">
            <v>06010811680011</v>
          </cell>
          <cell r="B166" t="str">
            <v>JOSE MARIA SALINAS DERAS</v>
          </cell>
        </row>
        <row r="167">
          <cell r="A167" t="str">
            <v>06140103031026</v>
          </cell>
          <cell r="B167" t="str">
            <v>CLUTCH EXPRESS S.A DE C.V.</v>
          </cell>
        </row>
        <row r="168">
          <cell r="A168" t="str">
            <v>06142204860027</v>
          </cell>
          <cell r="B168" t="str">
            <v>MAURICIO NAPOLEON S.A DE C.V.</v>
          </cell>
        </row>
        <row r="169">
          <cell r="A169" t="str">
            <v>06141702660013</v>
          </cell>
          <cell r="B169" t="str">
            <v>ALSI S.A DE C.V.</v>
          </cell>
        </row>
        <row r="170">
          <cell r="A170" t="str">
            <v>06141202620014</v>
          </cell>
          <cell r="B170" t="str">
            <v>SEGUROS E INVERSIONES S.A</v>
          </cell>
        </row>
        <row r="171">
          <cell r="A171" t="str">
            <v>06142307091063</v>
          </cell>
          <cell r="B171" t="str">
            <v>CENTROAMERICA COMERCIAL S.A DE C.V.</v>
          </cell>
        </row>
        <row r="172">
          <cell r="A172" t="str">
            <v>06142209111080</v>
          </cell>
          <cell r="B172" t="str">
            <v>REFILL S.A DE C.V.</v>
          </cell>
        </row>
        <row r="173">
          <cell r="A173" t="str">
            <v>11220301630016</v>
          </cell>
          <cell r="B173" t="str">
            <v>DINA DEL CARMEN SARAVIA DE ARGUETA</v>
          </cell>
        </row>
        <row r="174">
          <cell r="A174" t="str">
            <v>06140304941160</v>
          </cell>
          <cell r="B174" t="str">
            <v>DANIEL ALBETO RUBIO CARCAMO</v>
          </cell>
        </row>
        <row r="175">
          <cell r="A175" t="str">
            <v>06141901191039</v>
          </cell>
          <cell r="B175" t="str">
            <v>BODEGA DE COLORES SANTO S.A DE C.V.</v>
          </cell>
        </row>
        <row r="176">
          <cell r="A176" t="str">
            <v>06141909001034</v>
          </cell>
          <cell r="B176" t="str">
            <v>RAMIREZ VENTURA S.A DE C.V.</v>
          </cell>
        </row>
        <row r="177">
          <cell r="A177" t="str">
            <v>05110205951057</v>
          </cell>
          <cell r="B177" t="str">
            <v>MELIZA ORTIZ PEDROZA</v>
          </cell>
        </row>
        <row r="178">
          <cell r="A178" t="str">
            <v>10091907771010</v>
          </cell>
          <cell r="B178" t="str">
            <v>MIRIAN GAMEZ DE MENJIVAR</v>
          </cell>
        </row>
        <row r="179">
          <cell r="A179" t="str">
            <v>05032807091015</v>
          </cell>
          <cell r="B179" t="str">
            <v>VARRELL S.A DE C.V.</v>
          </cell>
        </row>
        <row r="180">
          <cell r="A180" t="str">
            <v>05021701781010</v>
          </cell>
          <cell r="B180" t="str">
            <v>RENE IVAN LOPEZ ALAS</v>
          </cell>
        </row>
        <row r="181">
          <cell r="A181" t="str">
            <v>02102506011013</v>
          </cell>
          <cell r="B181" t="str">
            <v>SERVI REPUESTOS S.A DE C.V.</v>
          </cell>
        </row>
        <row r="182">
          <cell r="A182" t="str">
            <v>06141709881013</v>
          </cell>
          <cell r="B182" t="str">
            <v>ABASTECEDORA INDUSTRIAL S.A DE C.V.</v>
          </cell>
        </row>
        <row r="183">
          <cell r="A183" t="str">
            <v>96150710591021</v>
          </cell>
          <cell r="B183" t="str">
            <v>IVAN ANTONIO EUGARRIOS PEREZ</v>
          </cell>
        </row>
        <row r="184">
          <cell r="A184" t="str">
            <v>06142212650014</v>
          </cell>
          <cell r="B184" t="str">
            <v>FASANI S.A DE C.V</v>
          </cell>
        </row>
        <row r="185">
          <cell r="A185" t="str">
            <v>06143005051069</v>
          </cell>
          <cell r="B185" t="str">
            <v>PROAGROFE S.A DE C.V.</v>
          </cell>
        </row>
        <row r="186">
          <cell r="A186" t="str">
            <v>06140101670050</v>
          </cell>
          <cell r="B186" t="str">
            <v>NELSON ANTONIO DOÑAN</v>
          </cell>
        </row>
        <row r="187">
          <cell r="A187" t="str">
            <v>06142708101053</v>
          </cell>
          <cell r="B187" t="str">
            <v>GRUPO NSV S.A DE C.V.</v>
          </cell>
        </row>
        <row r="188">
          <cell r="A188" t="str">
            <v>06142909951047</v>
          </cell>
          <cell r="B188" t="str">
            <v>FARLAB S.A DE C.V.</v>
          </cell>
        </row>
        <row r="189">
          <cell r="A189" t="str">
            <v>10092504680019</v>
          </cell>
          <cell r="B189" t="str">
            <v>ALFREDO ANTONIO RODRIGUEZ DURAN</v>
          </cell>
        </row>
        <row r="190">
          <cell r="A190" t="str">
            <v>06140510091041</v>
          </cell>
          <cell r="B190" t="str">
            <v>DISTRIBUIDORA MARANATHA S.A DE C.V.</v>
          </cell>
        </row>
        <row r="191">
          <cell r="A191" t="str">
            <v>06142403071030</v>
          </cell>
          <cell r="B191" t="str">
            <v>VISOR S.A DE C.V.</v>
          </cell>
        </row>
        <row r="192">
          <cell r="A192" t="str">
            <v>06140210081052</v>
          </cell>
          <cell r="B192" t="str">
            <v>FERRETERIA EPA S.A DE C.V.</v>
          </cell>
        </row>
        <row r="193">
          <cell r="A193" t="str">
            <v>06142710761257</v>
          </cell>
          <cell r="B193" t="str">
            <v>SANDRA YANETH PEÑATE DE GUZMAN</v>
          </cell>
        </row>
        <row r="194">
          <cell r="A194" t="str">
            <v>06141902091038</v>
          </cell>
          <cell r="B194" t="str">
            <v>PRODYLAB S.A DE C.V.</v>
          </cell>
        </row>
        <row r="195">
          <cell r="A195" t="str">
            <v>14080506360015</v>
          </cell>
          <cell r="B195" t="str">
            <v>LUIS ALFREDO VENTURA ELVIR</v>
          </cell>
        </row>
        <row r="196">
          <cell r="A196" t="str">
            <v>06143110181121</v>
          </cell>
          <cell r="B196" t="str">
            <v>COMPETROL S.A DE C.V.</v>
          </cell>
        </row>
        <row r="197">
          <cell r="A197" t="str">
            <v>06143107620016</v>
          </cell>
          <cell r="B197" t="str">
            <v>REPUESTOS DIDEA S.A DE C.V.</v>
          </cell>
        </row>
        <row r="198">
          <cell r="A198" t="str">
            <v>06191411771018</v>
          </cell>
          <cell r="B198" t="str">
            <v>WILLIAN ERNESTO BARRIENTOS</v>
          </cell>
        </row>
        <row r="199">
          <cell r="A199" t="str">
            <v>06143008061057</v>
          </cell>
          <cell r="B199" t="str">
            <v>OCON S.A DE C.V.</v>
          </cell>
        </row>
        <row r="200">
          <cell r="A200" t="str">
            <v>06141901001027</v>
          </cell>
          <cell r="B200" t="str">
            <v>SERVICIOS ESPECIALIZADOS S.A DE C.V.</v>
          </cell>
        </row>
        <row r="201">
          <cell r="A201" t="str">
            <v>06142911101042</v>
          </cell>
          <cell r="B201" t="str">
            <v>INVERSIONES CAPITOL S.A DE C.V.</v>
          </cell>
        </row>
        <row r="202">
          <cell r="A202" t="str">
            <v>06141709011035</v>
          </cell>
          <cell r="B202" t="str">
            <v>IMPORTADORA MANHATTAN S.A DE C.V.</v>
          </cell>
        </row>
        <row r="203">
          <cell r="A203" t="str">
            <v>06142501101070</v>
          </cell>
          <cell r="B203" t="str">
            <v>SERVICIOS Y LOGISTICA DE CARGA WALNYS</v>
          </cell>
        </row>
        <row r="204">
          <cell r="A204" t="str">
            <v>06141410901506</v>
          </cell>
          <cell r="B204" t="str">
            <v>ARTERIA ESTUDIO</v>
          </cell>
        </row>
        <row r="205">
          <cell r="A205" t="str">
            <v>06141808941052</v>
          </cell>
          <cell r="B205" t="str">
            <v>CASA MUÑOZ S.A DE C.V.</v>
          </cell>
        </row>
        <row r="206">
          <cell r="A206" t="str">
            <v>06140611800022</v>
          </cell>
          <cell r="B206" t="str">
            <v>LABORATORIOS SUIZOS S.A DE C.V.</v>
          </cell>
        </row>
        <row r="207">
          <cell r="A207" t="str">
            <v>05112311161017</v>
          </cell>
          <cell r="B207" t="str">
            <v>PAMELA BEAUTY SUPPLY S.A DE C.V.</v>
          </cell>
        </row>
        <row r="208">
          <cell r="A208" t="str">
            <v>06141603991030</v>
          </cell>
          <cell r="B208" t="str">
            <v>PRICEMART EL SALVADOR S.A DE C.V.</v>
          </cell>
        </row>
        <row r="209">
          <cell r="A209" t="str">
            <v>06143107670019</v>
          </cell>
          <cell r="B209" t="str">
            <v>CASA AMA S.A DE C.V.</v>
          </cell>
        </row>
        <row r="210">
          <cell r="A210" t="str">
            <v>06141408850049</v>
          </cell>
          <cell r="B210" t="str">
            <v>CORPORACION DE METALES S.A DE C.V.</v>
          </cell>
        </row>
        <row r="211">
          <cell r="A211" t="str">
            <v>06140404001025</v>
          </cell>
          <cell r="B211" t="str">
            <v>SERVITEK S.A DE C.V.</v>
          </cell>
        </row>
        <row r="212">
          <cell r="A212" t="str">
            <v>12171306680010</v>
          </cell>
          <cell r="B212" t="str">
            <v>GRUPO Q EL SALVADOR S.A DE C.V.</v>
          </cell>
        </row>
        <row r="213">
          <cell r="A213" t="str">
            <v>05102905901015</v>
          </cell>
          <cell r="B213" t="str">
            <v>CRISTIAN ERICSON MONTERROSA GOMEZ</v>
          </cell>
        </row>
        <row r="214">
          <cell r="A214" t="str">
            <v>06141104780023</v>
          </cell>
          <cell r="B214" t="str">
            <v>COPLASA S.A DE C.V.</v>
          </cell>
        </row>
        <row r="215">
          <cell r="A215" t="str">
            <v>14070503650018</v>
          </cell>
          <cell r="B215" t="str">
            <v>CARLOS DANIS RAMIREZ VENTURA</v>
          </cell>
        </row>
        <row r="216">
          <cell r="A216" t="str">
            <v>06141105951030</v>
          </cell>
          <cell r="B216" t="str">
            <v>SOLUCIONES S.A DE C.V.</v>
          </cell>
        </row>
        <row r="217">
          <cell r="A217" t="str">
            <v>11180112320023</v>
          </cell>
          <cell r="B217" t="str">
            <v xml:space="preserve">MARTA HERMINIA MARTINEZ </v>
          </cell>
        </row>
        <row r="218">
          <cell r="A218" t="str">
            <v>06142208921011</v>
          </cell>
          <cell r="B218" t="str">
            <v>IMPORT CARS S.A DE C.V.</v>
          </cell>
        </row>
        <row r="219">
          <cell r="A219" t="str">
            <v>06141501590019</v>
          </cell>
          <cell r="B219" t="str">
            <v>LA IBERICA S.A DE C.V.</v>
          </cell>
        </row>
        <row r="220">
          <cell r="A220" t="str">
            <v>06142603721196</v>
          </cell>
          <cell r="B220" t="str">
            <v>JOSE NEFTALI HERNANDEZ SANCHEZ</v>
          </cell>
        </row>
        <row r="221">
          <cell r="A221" t="str">
            <v>06142407500017</v>
          </cell>
          <cell r="B221" t="str">
            <v>GUILLERMO E. MIGUEL B.</v>
          </cell>
        </row>
        <row r="222">
          <cell r="A222" t="str">
            <v>06142312610117</v>
          </cell>
          <cell r="B222" t="str">
            <v>RODRIGO ANTONIO ARGUETA ECHEGOYEN</v>
          </cell>
        </row>
        <row r="223">
          <cell r="A223" t="str">
            <v>06143108911074</v>
          </cell>
          <cell r="B223" t="str">
            <v>EDUARDO JAVIER ROCHAC FERRUFINO</v>
          </cell>
        </row>
        <row r="224">
          <cell r="A224" t="str">
            <v>02102311620052</v>
          </cell>
          <cell r="B224" t="str">
            <v xml:space="preserve">ANGEL MAURICIO TRUJILLO </v>
          </cell>
        </row>
        <row r="225">
          <cell r="A225" t="str">
            <v>06142803931012</v>
          </cell>
          <cell r="B225" t="str">
            <v>AUTOMATIZACION Y CONTROL INDUSTRIAL</v>
          </cell>
        </row>
        <row r="226">
          <cell r="A226" t="str">
            <v>06082511590014</v>
          </cell>
          <cell r="B226" t="str">
            <v>CARLOS ERNESTO MEJIA RIVAS</v>
          </cell>
        </row>
        <row r="227">
          <cell r="A227" t="str">
            <v>06141101690011</v>
          </cell>
          <cell r="B227" t="str">
            <v>CALLEJA S.A DE C.V.</v>
          </cell>
        </row>
        <row r="228">
          <cell r="A228" t="str">
            <v>04330307590010</v>
          </cell>
          <cell r="B228" t="str">
            <v>MARIA ISABEL AVELAR</v>
          </cell>
        </row>
        <row r="229">
          <cell r="A229" t="str">
            <v>06140701091041</v>
          </cell>
          <cell r="B229" t="str">
            <v>INVERSIONES ACEITUNO S.A DE C.V.</v>
          </cell>
        </row>
        <row r="230">
          <cell r="A230" t="str">
            <v>06141106071025</v>
          </cell>
          <cell r="B230" t="str">
            <v>FARMACIAS EUROPEAS</v>
          </cell>
        </row>
        <row r="231">
          <cell r="A231" t="str">
            <v>06143101550016</v>
          </cell>
          <cell r="B231" t="str">
            <v xml:space="preserve">BANCO AGRICOLA, S.A </v>
          </cell>
        </row>
        <row r="232">
          <cell r="A232" t="str">
            <v>12171906520017</v>
          </cell>
          <cell r="B232" t="str">
            <v>RAFAEL RENE CANALES PINAUD</v>
          </cell>
        </row>
        <row r="233">
          <cell r="A233" t="str">
            <v>06140910131034</v>
          </cell>
          <cell r="B233" t="str">
            <v>PRONEGOCIOS S.A DE C.V.</v>
          </cell>
        </row>
        <row r="234">
          <cell r="A234" t="str">
            <v>06140607921022</v>
          </cell>
          <cell r="B234" t="str">
            <v>DISTRIBUIDORA JAR S.A DE C.V.</v>
          </cell>
        </row>
        <row r="235">
          <cell r="A235" t="str">
            <v>06040302650016</v>
          </cell>
          <cell r="B235" t="str">
            <v>ULISES OLMEDO SANCHEZ</v>
          </cell>
        </row>
        <row r="236">
          <cell r="A236" t="str">
            <v>06142904720020</v>
          </cell>
          <cell r="B236" t="str">
            <v>TIENDA MORENA S.A DE C.V.</v>
          </cell>
        </row>
        <row r="237">
          <cell r="A237" t="str">
            <v>06142908171021</v>
          </cell>
          <cell r="B237" t="str">
            <v>JOPEGALAMB. S.A DE C.V.</v>
          </cell>
        </row>
        <row r="238">
          <cell r="A238" t="str">
            <v>06141706141027</v>
          </cell>
          <cell r="B238" t="str">
            <v>GRUPO ENDO S.A DE C.V.</v>
          </cell>
        </row>
        <row r="239">
          <cell r="A239" t="str">
            <v>06142011151036</v>
          </cell>
          <cell r="B239" t="str">
            <v>IMPORTACIONES LEON S.A DE C.V.</v>
          </cell>
        </row>
        <row r="240">
          <cell r="A240" t="str">
            <v>06143005151012</v>
          </cell>
          <cell r="B240" t="str">
            <v>CONEXIONES DEL PACIFICO S.A DE C.V.</v>
          </cell>
        </row>
        <row r="241">
          <cell r="A241" t="str">
            <v>06142908131038</v>
          </cell>
          <cell r="B241" t="str">
            <v>MEILUO TRADING S.A DE C.V.</v>
          </cell>
        </row>
        <row r="242">
          <cell r="A242" t="str">
            <v>09061901771024</v>
          </cell>
          <cell r="B242" t="str">
            <v>MARTHA TORRES LOPEZ</v>
          </cell>
        </row>
        <row r="243">
          <cell r="A243" t="str">
            <v>14152005551010</v>
          </cell>
          <cell r="B243" t="str">
            <v>FRANCISCO ANTONIO FLORES</v>
          </cell>
        </row>
        <row r="244">
          <cell r="A244" t="str">
            <v>06140102021043</v>
          </cell>
          <cell r="B244" t="str">
            <v>INVERSIONES GIBRALTAR S.A DE C.V.</v>
          </cell>
        </row>
        <row r="245">
          <cell r="A245" t="str">
            <v>06141310881010</v>
          </cell>
          <cell r="B245" t="str">
            <v>TRANSPORT S.A DE C.V.</v>
          </cell>
        </row>
        <row r="246">
          <cell r="A246" t="str">
            <v>06140302981017</v>
          </cell>
          <cell r="B246" t="str">
            <v>SERVICIOS PROFESIONALES DE MAQUINARIA</v>
          </cell>
        </row>
        <row r="247">
          <cell r="A247" t="str">
            <v>06141604071016</v>
          </cell>
          <cell r="B247" t="str">
            <v>CARS LAND S.A DE C.V.</v>
          </cell>
        </row>
        <row r="248">
          <cell r="A248" t="str">
            <v>06140103750012</v>
          </cell>
          <cell r="B248" t="str">
            <v>ALMACENES DE REPUESTOS MONTERREY</v>
          </cell>
        </row>
        <row r="249">
          <cell r="A249" t="str">
            <v>06141507131039</v>
          </cell>
          <cell r="B249" t="str">
            <v>AUTOZAMA S.A DE C.V.</v>
          </cell>
        </row>
        <row r="250">
          <cell r="A250" t="str">
            <v>06140703530140</v>
          </cell>
          <cell r="B250" t="str">
            <v>H. BARON S.A DE C.V.</v>
          </cell>
        </row>
        <row r="251">
          <cell r="A251" t="str">
            <v>06140106710037</v>
          </cell>
          <cell r="B251" t="str">
            <v>CENTRO DE RESORTES S.A DE C.V.</v>
          </cell>
        </row>
        <row r="252">
          <cell r="A252" t="str">
            <v>14041507881018</v>
          </cell>
          <cell r="B252" t="str">
            <v>OSCAR ALEJANDRO ALVARENGA BONILLA</v>
          </cell>
        </row>
        <row r="253">
          <cell r="A253" t="str">
            <v>06141501101073</v>
          </cell>
          <cell r="B253" t="str">
            <v>ROSA AUTOPARTS S.A DE C.V.</v>
          </cell>
        </row>
        <row r="254">
          <cell r="A254" t="str">
            <v>06142101860018</v>
          </cell>
          <cell r="B254" t="str">
            <v>VILLAVAR S.A DE C.V.</v>
          </cell>
        </row>
        <row r="255">
          <cell r="A255" t="str">
            <v>06140302851016</v>
          </cell>
          <cell r="B255" t="str">
            <v xml:space="preserve">ABREGO MULTISERVICIOS </v>
          </cell>
        </row>
        <row r="256">
          <cell r="A256" t="str">
            <v>06141105101010</v>
          </cell>
          <cell r="B256" t="str">
            <v>CARGOMANIA S.A DE C.V.</v>
          </cell>
        </row>
        <row r="257">
          <cell r="A257" t="str">
            <v>20217243259</v>
          </cell>
          <cell r="B257" t="str">
            <v>LATCO INTERNACIONAL INC</v>
          </cell>
        </row>
        <row r="258">
          <cell r="A258" t="str">
            <v>06143107971090</v>
          </cell>
          <cell r="B258" t="str">
            <v>OPERADORA DEL SUR S.A DE C.V.</v>
          </cell>
        </row>
        <row r="259">
          <cell r="A259" t="str">
            <v>04310608891017</v>
          </cell>
          <cell r="B259" t="str">
            <v>SALVADOR ERNESTO GALAN</v>
          </cell>
        </row>
        <row r="260">
          <cell r="A260" t="str">
            <v>05110606161016</v>
          </cell>
          <cell r="B260" t="str">
            <v>ZONA DIGITAL, S.A. DE C.V.</v>
          </cell>
        </row>
        <row r="261">
          <cell r="A261" t="str">
            <v>05172512691017</v>
          </cell>
          <cell r="B261" t="str">
            <v>SUSY DEL CARMEN SOLORZANO DE FIGUERO</v>
          </cell>
        </row>
        <row r="262">
          <cell r="A262" t="str">
            <v>06140307951051</v>
          </cell>
          <cell r="B262" t="str">
            <v>ROCELI CONSULTORES, S.A DE C.V.</v>
          </cell>
        </row>
        <row r="263">
          <cell r="A263" t="str">
            <v>06140703091022</v>
          </cell>
          <cell r="B263" t="str">
            <v>GRUPO L&amp;J, S.A. DE C.V.</v>
          </cell>
        </row>
        <row r="264">
          <cell r="A264" t="str">
            <v>06141310941110</v>
          </cell>
          <cell r="B264" t="str">
            <v>PLAZA MERLIOT</v>
          </cell>
        </row>
        <row r="265">
          <cell r="A265" t="str">
            <v>06141311741092</v>
          </cell>
          <cell r="B265" t="str">
            <v>ROSA MIRIAM GONZALEZ DE ROMERO</v>
          </cell>
        </row>
        <row r="266">
          <cell r="A266" t="str">
            <v>06141911121047</v>
          </cell>
          <cell r="B266" t="str">
            <v>ALFARN, S.A. DE C.V.</v>
          </cell>
        </row>
        <row r="267">
          <cell r="A267" t="str">
            <v>06142011101020</v>
          </cell>
          <cell r="B267" t="str">
            <v>TECNOMOVIL</v>
          </cell>
        </row>
        <row r="268">
          <cell r="A268" t="str">
            <v>06142012121033</v>
          </cell>
          <cell r="B268" t="str">
            <v>INVERSIONES ULTRAMAR</v>
          </cell>
        </row>
        <row r="269">
          <cell r="A269" t="str">
            <v>06140810151020</v>
          </cell>
          <cell r="B269" t="str">
            <v>ISHOP EL SALVADOR S.A DE C.V.</v>
          </cell>
        </row>
        <row r="270">
          <cell r="A270" t="str">
            <v>06142812111010</v>
          </cell>
          <cell r="B270" t="str">
            <v>PUBLIMAX PROMOS S.A DE C.V.</v>
          </cell>
        </row>
        <row r="271">
          <cell r="A271" t="str">
            <v>06141502201020</v>
          </cell>
          <cell r="B271" t="str">
            <v>J Y A S.A DE C.V.</v>
          </cell>
        </row>
        <row r="272">
          <cell r="A272" t="str">
            <v>06142611141050</v>
          </cell>
          <cell r="B272" t="str">
            <v>GRUPO CENTRA S.A DE C.V.</v>
          </cell>
        </row>
        <row r="273">
          <cell r="A273" t="str">
            <v>08130203001010</v>
          </cell>
          <cell r="B273" t="str">
            <v>INTCOMEX S.A DE C.V.</v>
          </cell>
        </row>
        <row r="274">
          <cell r="A274" t="str">
            <v>05020712861028</v>
          </cell>
          <cell r="B274" t="str">
            <v>GARDENIA FLOR DE MARIA LOPEZ</v>
          </cell>
        </row>
        <row r="275">
          <cell r="A275" t="str">
            <v>06141204840017</v>
          </cell>
          <cell r="B275" t="str">
            <v>RECINOS SCHONBORN S.A DE C.V.</v>
          </cell>
        </row>
        <row r="276">
          <cell r="A276" t="str">
            <v>06140106700019</v>
          </cell>
          <cell r="B276" t="str">
            <v>F.A. DALTON Y CO</v>
          </cell>
        </row>
        <row r="277">
          <cell r="A277" t="str">
            <v>06141208131022</v>
          </cell>
          <cell r="B277" t="str">
            <v>MOTORES Y VEHICULOS S.A DE C.V.</v>
          </cell>
        </row>
        <row r="278">
          <cell r="A278" t="str">
            <v>03152712881017</v>
          </cell>
          <cell r="B278" t="str">
            <v>ALSEDI S.A DE C.V.</v>
          </cell>
        </row>
        <row r="279">
          <cell r="A279" t="str">
            <v>06142102971044</v>
          </cell>
          <cell r="B279" t="str">
            <v>COMPAÑÍA TELECOMUNICACIONES DE LE SALVADOR</v>
          </cell>
        </row>
        <row r="280">
          <cell r="A280" t="str">
            <v>06143010031041</v>
          </cell>
          <cell r="B280" t="str">
            <v>HOSPITAL DE LA PIEL S.A DE C.V.</v>
          </cell>
        </row>
        <row r="281">
          <cell r="A281" t="str">
            <v>06140104680029</v>
          </cell>
          <cell r="B281" t="str">
            <v>SERVICIO AGRICOLA SALVADOREÑO S.A DE C.V</v>
          </cell>
        </row>
        <row r="282">
          <cell r="A282" t="str">
            <v>03151705191025</v>
          </cell>
          <cell r="B282" t="str">
            <v>SUMINISTROS ELECTRICOS Y TECNOENERGIA S.A DE C.V.</v>
          </cell>
        </row>
        <row r="283">
          <cell r="A283" t="str">
            <v>06140301081039</v>
          </cell>
          <cell r="B283" t="str">
            <v>LA CASA DE LAS BATERIAS S.A DE C.V.</v>
          </cell>
        </row>
        <row r="284">
          <cell r="A284" t="str">
            <v>06140106131048</v>
          </cell>
          <cell r="B284" t="str">
            <v>ATCASAL DE EL SALVADOR</v>
          </cell>
        </row>
        <row r="285">
          <cell r="A285" t="str">
            <v>08191209580014</v>
          </cell>
          <cell r="B285" t="str">
            <v>TRINIDAD HERNANDEZ MOLINA</v>
          </cell>
        </row>
        <row r="286">
          <cell r="A286" t="str">
            <v>07021404520020</v>
          </cell>
          <cell r="B286" t="str">
            <v>NELSON EDY MEJIA OSORIO</v>
          </cell>
        </row>
        <row r="287">
          <cell r="A287" t="str">
            <v>07162602711019</v>
          </cell>
          <cell r="B287" t="str">
            <v>FREDY GUILLERMO CACERES RAFAELANO</v>
          </cell>
        </row>
        <row r="288">
          <cell r="A288" t="str">
            <v>06140107690022</v>
          </cell>
          <cell r="B288" t="str">
            <v>CASA RIVAS S.A DE C.V.</v>
          </cell>
        </row>
        <row r="289">
          <cell r="A289" t="str">
            <v>05111408191011</v>
          </cell>
          <cell r="B289" t="str">
            <v>REPUESTOS CASTILLO S.A DE C.V.</v>
          </cell>
        </row>
        <row r="290">
          <cell r="A290" t="str">
            <v>05112011121013</v>
          </cell>
          <cell r="B290" t="str">
            <v>CENTRO DE DIAGNOSTICO Y EMISIONES DE EL SALVADOR</v>
          </cell>
        </row>
        <row r="291">
          <cell r="A291" t="str">
            <v>03120110741010</v>
          </cell>
          <cell r="B291" t="str">
            <v>JOSE FRANCISCO RIVAS</v>
          </cell>
        </row>
        <row r="292">
          <cell r="A292" t="str">
            <v>06140510560017</v>
          </cell>
          <cell r="B292" t="str">
            <v>PROYECTOS INDUSTRIALES S.A DE C.V.</v>
          </cell>
        </row>
        <row r="293">
          <cell r="A293" t="str">
            <v>05192207731018</v>
          </cell>
          <cell r="B293" t="str">
            <v>GERARDO ANTONIO MARTINEZ AMAYA</v>
          </cell>
        </row>
        <row r="294">
          <cell r="A294" t="str">
            <v>06142801880014</v>
          </cell>
          <cell r="B294" t="str">
            <v>PROCESADORA Y DISTRIBUIDORA NACIONAL S.A DE C.V.</v>
          </cell>
        </row>
        <row r="295">
          <cell r="A295" t="str">
            <v>04070802600010</v>
          </cell>
          <cell r="B295" t="str">
            <v>JOSE ELIAS ESCOBAR ROMERO</v>
          </cell>
        </row>
        <row r="296">
          <cell r="A296" t="str">
            <v>06142401061038</v>
          </cell>
          <cell r="B296" t="str">
            <v>LOS FRENOS S.A DE C.V.</v>
          </cell>
        </row>
        <row r="297">
          <cell r="A297" t="str">
            <v>05030502570014</v>
          </cell>
          <cell r="B297" t="str">
            <v>LAURA LOPEZ PEREZ</v>
          </cell>
        </row>
        <row r="298">
          <cell r="A298" t="str">
            <v>06141101181086</v>
          </cell>
          <cell r="B298" t="str">
            <v>LABCA</v>
          </cell>
        </row>
        <row r="299">
          <cell r="A299" t="str">
            <v>06142005091013</v>
          </cell>
          <cell r="B299" t="str">
            <v>ACAR S.A DE C.V.</v>
          </cell>
        </row>
        <row r="300">
          <cell r="A300" t="str">
            <v>02102603710016</v>
          </cell>
          <cell r="B300" t="str">
            <v>RAF S.A DE C.V.</v>
          </cell>
        </row>
        <row r="301">
          <cell r="A301" t="str">
            <v>06142603520108</v>
          </cell>
          <cell r="B301" t="str">
            <v>OSCAR ATILIO PLEITEZ JUAREZ</v>
          </cell>
        </row>
        <row r="302">
          <cell r="A302" t="str">
            <v>06140309760011</v>
          </cell>
          <cell r="B302" t="str">
            <v>PRODUCTOS TECNOLOGICOS</v>
          </cell>
        </row>
        <row r="303">
          <cell r="A303" t="str">
            <v>06141612061020</v>
          </cell>
          <cell r="B303" t="str">
            <v>DE LA PEÑA S.A DE C.V.</v>
          </cell>
        </row>
        <row r="304">
          <cell r="A304" t="str">
            <v>03012912811025</v>
          </cell>
          <cell r="B304" t="str">
            <v>JOSE EZEQUIEL AGUILAR PINEDA</v>
          </cell>
        </row>
        <row r="305">
          <cell r="A305" t="str">
            <v>05111504991010</v>
          </cell>
          <cell r="B305" t="str">
            <v>FERNANDA DAMARIS MENENDEZ ACOSTA</v>
          </cell>
        </row>
        <row r="306">
          <cell r="A306" t="str">
            <v>01071311731015</v>
          </cell>
          <cell r="B306" t="str">
            <v>LUIS ANGEL JIMENEZ BENITEZ</v>
          </cell>
        </row>
        <row r="307">
          <cell r="A307" t="str">
            <v>06141104191015</v>
          </cell>
          <cell r="B307" t="str">
            <v>DISTRIBUCIONES DCE EL SALVADOR</v>
          </cell>
        </row>
        <row r="308">
          <cell r="A308" t="str">
            <v>05061006761019</v>
          </cell>
          <cell r="B308" t="str">
            <v>ALEXANDER PERES MELARA</v>
          </cell>
        </row>
        <row r="309">
          <cell r="A309" t="str">
            <v>06142002121043</v>
          </cell>
          <cell r="B309" t="str">
            <v>PACK MAN S.A DE C.V.</v>
          </cell>
        </row>
        <row r="310">
          <cell r="A310" t="str">
            <v>06141407081042</v>
          </cell>
          <cell r="B310" t="str">
            <v>MADERAS EL TABLON S.A DE C.V.</v>
          </cell>
        </row>
        <row r="311">
          <cell r="A311" t="str">
            <v>06142709121040</v>
          </cell>
          <cell r="B311" t="str">
            <v>UNIVERSAL ENTERPRISE, S.A DE C.V.</v>
          </cell>
        </row>
        <row r="312">
          <cell r="A312" t="str">
            <v>06142901600027</v>
          </cell>
          <cell r="B312" t="str">
            <v>TOBIAS CHAVEZ MAYORGA</v>
          </cell>
        </row>
        <row r="313">
          <cell r="A313" t="str">
            <v>06141609031012</v>
          </cell>
          <cell r="B313" t="str">
            <v>COMLUB, S.A DE C.V.</v>
          </cell>
        </row>
        <row r="314">
          <cell r="A314" t="str">
            <v>06190311821020</v>
          </cell>
          <cell r="B314" t="str">
            <v>RICARDO ANTONIO GONZALEZ ESCOBAR</v>
          </cell>
        </row>
        <row r="315">
          <cell r="A315" t="str">
            <v>06141306081050</v>
          </cell>
          <cell r="B315" t="str">
            <v>TECNO DIAGNOSTICA DE EL SALVADOR</v>
          </cell>
        </row>
        <row r="316">
          <cell r="A316" t="str">
            <v>05012910941018</v>
          </cell>
          <cell r="B316" t="str">
            <v>ECOIM, S.A DE C.V.</v>
          </cell>
        </row>
        <row r="317">
          <cell r="A317" t="str">
            <v>12151607530013</v>
          </cell>
          <cell r="B317" t="str">
            <v>NORBERTO GOMEZ CAMPOS</v>
          </cell>
        </row>
        <row r="318">
          <cell r="A318" t="str">
            <v>06141211141047</v>
          </cell>
          <cell r="B318" t="str">
            <v>THE COFFE NET S.A DE C.V.</v>
          </cell>
        </row>
        <row r="319">
          <cell r="A319" t="str">
            <v>06142610770020</v>
          </cell>
          <cell r="B319" t="str">
            <v>CASTELLA SAGARRA S.A DE C.V.</v>
          </cell>
        </row>
        <row r="320">
          <cell r="A320" t="str">
            <v>11092509810011</v>
          </cell>
          <cell r="B320" t="str">
            <v xml:space="preserve">COOPERATIVA DE CAFICULTORES JUCUAPENSE </v>
          </cell>
        </row>
        <row r="321">
          <cell r="A321" t="str">
            <v>06140202181064</v>
          </cell>
          <cell r="B321" t="str">
            <v>RUTA CINCO CERO S.A DE C.V.</v>
          </cell>
        </row>
        <row r="322">
          <cell r="A322" t="str">
            <v>06142910901371</v>
          </cell>
          <cell r="B322" t="str">
            <v>WALTHER ASTUL TORREZ DIAZ</v>
          </cell>
        </row>
        <row r="323">
          <cell r="A323" t="str">
            <v>06141003951019</v>
          </cell>
          <cell r="B323" t="str">
            <v>SISTEMAS C Y C S.A DE C.V.</v>
          </cell>
        </row>
        <row r="324">
          <cell r="A324" t="str">
            <v>06141811971019</v>
          </cell>
          <cell r="B324" t="str">
            <v>MULTI-TECNOLOGICA S.A DE C.V.</v>
          </cell>
        </row>
        <row r="325">
          <cell r="A325" t="str">
            <v>06142904951227</v>
          </cell>
          <cell r="B325" t="str">
            <v>ULISES ALEJANDRO TEJADA</v>
          </cell>
        </row>
        <row r="326">
          <cell r="A326" t="str">
            <v>14122502721020</v>
          </cell>
          <cell r="B326" t="str">
            <v>RUTH MARICELA MAJANO</v>
          </cell>
        </row>
        <row r="327">
          <cell r="A327" t="str">
            <v>06142612701238</v>
          </cell>
          <cell r="B327" t="str">
            <v>ANA ARACELY REYES DE RIVAS</v>
          </cell>
        </row>
        <row r="328">
          <cell r="A328" t="str">
            <v>06141307921051</v>
          </cell>
          <cell r="B328" t="str">
            <v>ELECTROLAB MEDIC, S.A DE C.V.</v>
          </cell>
        </row>
        <row r="329">
          <cell r="A329" t="str">
            <v>06140411151040</v>
          </cell>
          <cell r="B329" t="str">
            <v>DIVERCELL S.A DE C.V.</v>
          </cell>
        </row>
        <row r="330">
          <cell r="A330" t="str">
            <v>07151508430012</v>
          </cell>
          <cell r="B330" t="str">
            <v>MARIA TRANSITO FIGUEROA</v>
          </cell>
        </row>
        <row r="331">
          <cell r="A331" t="str">
            <v>06142904051048</v>
          </cell>
          <cell r="B331" t="str">
            <v>PRODUCTOS INDUSTRIALES Y MAQUINARIA</v>
          </cell>
        </row>
        <row r="332">
          <cell r="A332" t="str">
            <v>06142401031015</v>
          </cell>
          <cell r="B332" t="str">
            <v>LA CENTROAMERICANA, S.A DE C.V.</v>
          </cell>
        </row>
        <row r="333">
          <cell r="A333" t="str">
            <v>06143009921068</v>
          </cell>
          <cell r="B333" t="str">
            <v>IMPORTADORA RAMIREZ S.A DE C.V.</v>
          </cell>
        </row>
        <row r="334">
          <cell r="A334" t="str">
            <v>08192509560019</v>
          </cell>
          <cell r="B334" t="str">
            <v>LUBRICANTES Y REPUESTOS DON ABEL</v>
          </cell>
        </row>
        <row r="335">
          <cell r="A335" t="str">
            <v>03152106731026</v>
          </cell>
          <cell r="B335" t="str">
            <v>JOSE MAURICIO MONCHEZ ESCOBAR</v>
          </cell>
        </row>
        <row r="336">
          <cell r="A336" t="str">
            <v>03151510541013</v>
          </cell>
          <cell r="B336" t="str">
            <v>RIGOBERTO ANGEL PEREZ RAMIREZ</v>
          </cell>
        </row>
        <row r="337">
          <cell r="A337" t="str">
            <v>06142707991055</v>
          </cell>
          <cell r="B337" t="str">
            <v>ESINSA EL SALVADOR S.A DE C.V.</v>
          </cell>
        </row>
        <row r="338">
          <cell r="A338" t="str">
            <v>06140403101085</v>
          </cell>
          <cell r="B338" t="str">
            <v>3A QUIMICOS, S.A DE C.V.</v>
          </cell>
        </row>
        <row r="339">
          <cell r="A339" t="str">
            <v>14162710661017</v>
          </cell>
          <cell r="B339" t="str">
            <v>JAVIER DANILO RUIZ MORALES</v>
          </cell>
        </row>
        <row r="340">
          <cell r="A340" t="str">
            <v>12171508811017</v>
          </cell>
          <cell r="B340" t="str">
            <v>MARIO ERNESTO CHAVEZ MARTINEZ</v>
          </cell>
        </row>
        <row r="341">
          <cell r="A341" t="str">
            <v>06142907151027</v>
          </cell>
          <cell r="B341" t="str">
            <v>CORPORACION ABARCA, S.A DE C.V.</v>
          </cell>
        </row>
        <row r="342">
          <cell r="A342" t="str">
            <v>04020305691017</v>
          </cell>
          <cell r="B342" t="str">
            <v>ERNESTO SERRANO AYALA</v>
          </cell>
        </row>
        <row r="343">
          <cell r="A343" t="str">
            <v>06142501191028</v>
          </cell>
          <cell r="B343" t="str">
            <v>A.V. PROVEEDORES, S.A DE C.V.</v>
          </cell>
        </row>
        <row r="344">
          <cell r="A344" t="str">
            <v>08210107731010</v>
          </cell>
          <cell r="B344" t="str">
            <v>ANDREA LIZETTE QUIJADA DE SIBRIAN</v>
          </cell>
        </row>
        <row r="345">
          <cell r="A345" t="str">
            <v>12171805670010</v>
          </cell>
          <cell r="B345" t="str">
            <v>CREDIQ S.A DE C.V.</v>
          </cell>
        </row>
        <row r="346">
          <cell r="A346" t="str">
            <v>05032703771014</v>
          </cell>
          <cell r="B346" t="str">
            <v>JUAN ANTONIO COLOCHO MEDRANO</v>
          </cell>
        </row>
        <row r="347">
          <cell r="A347" t="str">
            <v>05110101891010</v>
          </cell>
          <cell r="B347" t="str">
            <v>HUMRO, S.A DE C.V.</v>
          </cell>
        </row>
        <row r="348">
          <cell r="A348" t="str">
            <v>06142401941054</v>
          </cell>
          <cell r="B348" t="str">
            <v>MOLDTROK, S.A DE C.V.</v>
          </cell>
        </row>
        <row r="349">
          <cell r="A349" t="str">
            <v>06141110161047</v>
          </cell>
          <cell r="B349" t="str">
            <v>EQUIPLASTIC S.A DE C.V.</v>
          </cell>
        </row>
        <row r="350">
          <cell r="A350" t="str">
            <v>05030907701012</v>
          </cell>
          <cell r="B350" t="str">
            <v>HERBERT RODNEY JIMENEZ CARDONA</v>
          </cell>
        </row>
        <row r="351">
          <cell r="A351" t="str">
            <v>02073003650018</v>
          </cell>
          <cell r="B351" t="str">
            <v>ELIX NEFTALI UMAÑA UMAÑA</v>
          </cell>
        </row>
        <row r="352">
          <cell r="A352" t="str">
            <v>06140103580052</v>
          </cell>
          <cell r="B352" t="str">
            <v>MIGUEL ANGEL WILLIAM ALFARO CABRERA</v>
          </cell>
        </row>
        <row r="353">
          <cell r="A353" t="str">
            <v>07091702731012</v>
          </cell>
          <cell r="B353" t="str">
            <v>SAMUEL ELIAS RIVAS MOZ</v>
          </cell>
        </row>
        <row r="354">
          <cell r="A354" t="str">
            <v>06142504941010</v>
          </cell>
          <cell r="B354" t="str">
            <v>JOMIGA, S.A DE C.V.</v>
          </cell>
        </row>
        <row r="355">
          <cell r="A355" t="str">
            <v>06142008660025</v>
          </cell>
          <cell r="B355" t="str">
            <v>FRANCISCO JAVIER PORTILLO T</v>
          </cell>
        </row>
        <row r="356">
          <cell r="A356" t="str">
            <v>06142505731094</v>
          </cell>
          <cell r="B356" t="str">
            <v>EDWARD LEONIDAS GUITIERREZ PORTILLO</v>
          </cell>
        </row>
        <row r="357">
          <cell r="A357" t="str">
            <v>12170309081011</v>
          </cell>
          <cell r="B357" t="str">
            <v>GRUPO BLANCO S.A DE C.V.</v>
          </cell>
        </row>
        <row r="358">
          <cell r="A358" t="str">
            <v>06140611710010</v>
          </cell>
          <cell r="B358" t="str">
            <v>INGENIO EL ANGEL, S.A DE C.V.</v>
          </cell>
        </row>
        <row r="359">
          <cell r="A359" t="str">
            <v>06173003001010</v>
          </cell>
          <cell r="B359" t="str">
            <v>SALVAGRO S.A DE C.V.</v>
          </cell>
        </row>
        <row r="360">
          <cell r="A360" t="str">
            <v>06170103310012</v>
          </cell>
          <cell r="B360" t="str">
            <v>MINISTERIO DE AGRICULTURA Y GANADERIA</v>
          </cell>
        </row>
        <row r="361">
          <cell r="A361" t="str">
            <v>06140806450012</v>
          </cell>
          <cell r="B361" t="str">
            <v>VIDUC S.A DE C.V.</v>
          </cell>
        </row>
        <row r="362">
          <cell r="A362" t="str">
            <v>05110804510015</v>
          </cell>
          <cell r="B362" t="str">
            <v>CARLOS ALBERTO RAMIREZ VALIENTE</v>
          </cell>
        </row>
        <row r="363">
          <cell r="A363" t="str">
            <v>06140703001112</v>
          </cell>
          <cell r="B363" t="str">
            <v>SOFIA GRABRIELA CANALES MENA</v>
          </cell>
        </row>
        <row r="364">
          <cell r="A364" t="str">
            <v>06142203891254</v>
          </cell>
          <cell r="B364" t="str">
            <v>JOAQUIN ALBERTO QUINTEROS POSADA</v>
          </cell>
        </row>
        <row r="365">
          <cell r="A365" t="str">
            <v>06140801181021</v>
          </cell>
          <cell r="B365" t="str">
            <v>IMPORTADORA 1688 S.A DE C.V.</v>
          </cell>
        </row>
        <row r="366">
          <cell r="A366" t="str">
            <v>06140103161060</v>
          </cell>
          <cell r="B366" t="str">
            <v>GRUPO KHARIS S.A DE C.V.</v>
          </cell>
        </row>
        <row r="367">
          <cell r="A367" t="str">
            <v>06141004961026</v>
          </cell>
          <cell r="B367" t="str">
            <v>DIAGNOSTIKA CAPRIS S.A DE C.V.</v>
          </cell>
        </row>
        <row r="368">
          <cell r="A368" t="str">
            <v>10010105811024</v>
          </cell>
          <cell r="B368" t="str">
            <v>YASMIN ELIZABETH AREVALO</v>
          </cell>
        </row>
        <row r="369">
          <cell r="A369" t="str">
            <v>11181602731029</v>
          </cell>
          <cell r="B369" t="str">
            <v>ZENIA MARITZA MENDEZ DE FLORES</v>
          </cell>
        </row>
        <row r="370">
          <cell r="A370" t="str">
            <v>06140706750010</v>
          </cell>
          <cell r="B370" t="str">
            <v xml:space="preserve">BODEGAS GENERALES DE DEPOSITO S.A </v>
          </cell>
        </row>
        <row r="371">
          <cell r="A371" t="str">
            <v>06142708121046</v>
          </cell>
          <cell r="B371" t="str">
            <v>PCS CENTRAL AMERICA, S.A DE C.V.</v>
          </cell>
        </row>
        <row r="372">
          <cell r="A372" t="str">
            <v>11020404600018</v>
          </cell>
          <cell r="B372" t="str">
            <v>JOSE VICTORINO ARIAS DIAZ</v>
          </cell>
        </row>
        <row r="373">
          <cell r="A373" t="str">
            <v>06140507121070</v>
          </cell>
          <cell r="B373" t="str">
            <v>SISAFE S.A DE C.V.</v>
          </cell>
        </row>
        <row r="374">
          <cell r="A374" t="str">
            <v>94833101781011</v>
          </cell>
          <cell r="B374" t="str">
            <v>JUAN ERNESTO VOSSBERG ORDOÑEZ</v>
          </cell>
        </row>
        <row r="375">
          <cell r="A375" t="str">
            <v>07101003681021</v>
          </cell>
          <cell r="B375" t="str">
            <v>ANA GLORIA SEGURA VILLALOBOS</v>
          </cell>
        </row>
        <row r="376">
          <cell r="A376" t="str">
            <v>08170307771014</v>
          </cell>
          <cell r="B376" t="str">
            <v>SIXTO JESUS MARROQUIN RIVAS</v>
          </cell>
        </row>
        <row r="377">
          <cell r="A377" t="str">
            <v>06141212921011</v>
          </cell>
          <cell r="B377" t="str">
            <v>KOSMOQUIMICA S.A DE C.V.</v>
          </cell>
        </row>
        <row r="378">
          <cell r="A378" t="str">
            <v>06140305931029</v>
          </cell>
          <cell r="B378" t="str">
            <v>DOÑO S.A DE C.V.</v>
          </cell>
        </row>
        <row r="379">
          <cell r="A379" t="str">
            <v>06141004121079</v>
          </cell>
          <cell r="B379" t="str">
            <v>PART PLUS S.A DE C.V.</v>
          </cell>
        </row>
        <row r="380">
          <cell r="A380" t="str">
            <v>04052407610012</v>
          </cell>
          <cell r="B380" t="str">
            <v>JOSE FRANCISCO RIVERA GALDAMEZ</v>
          </cell>
        </row>
        <row r="381">
          <cell r="A381" t="str">
            <v>05111202881011</v>
          </cell>
          <cell r="B381" t="str">
            <v>AUTOINDUSRIAS S.A DE C.V.</v>
          </cell>
        </row>
        <row r="382">
          <cell r="A382" t="str">
            <v>06143006961425</v>
          </cell>
          <cell r="B382" t="str">
            <v>ERICK ERNESTO LOPEZ</v>
          </cell>
        </row>
        <row r="383">
          <cell r="A383" t="str">
            <v>06141208141028</v>
          </cell>
          <cell r="B383" t="str">
            <v>KATYA Y FABIO S.A DE C.V.</v>
          </cell>
        </row>
        <row r="384">
          <cell r="A384" t="str">
            <v>06141111931016</v>
          </cell>
          <cell r="B384" t="str">
            <v>ENMANUEL, S.A DE C.V.</v>
          </cell>
        </row>
        <row r="385">
          <cell r="A385" t="str">
            <v>06141505091030</v>
          </cell>
          <cell r="B385" t="str">
            <v>COMERCIALIZADORA BF INTERNACIONAL</v>
          </cell>
        </row>
        <row r="386">
          <cell r="A386" t="str">
            <v>01062306811028</v>
          </cell>
          <cell r="B386" t="str">
            <v>ELIAS AQUINO GOMEZ</v>
          </cell>
        </row>
        <row r="387">
          <cell r="A387" t="str">
            <v>09043007610018</v>
          </cell>
          <cell r="B387" t="str">
            <v>SAUL POCASANGRE ESCOBAR</v>
          </cell>
        </row>
        <row r="388">
          <cell r="A388" t="str">
            <v>09031604801015</v>
          </cell>
          <cell r="B388" t="str">
            <v>ELIAS MISAEL GUZMAN FRANCO</v>
          </cell>
        </row>
        <row r="389">
          <cell r="A389" t="str">
            <v>03010901761015</v>
          </cell>
          <cell r="B389" t="str">
            <v>JIMMY DOUGLAS ALVARADO RAMOS</v>
          </cell>
        </row>
        <row r="390">
          <cell r="A390" t="str">
            <v>06142003971032</v>
          </cell>
          <cell r="B390" t="str">
            <v>INDUSTRIAS MECANICAS DOS MIL S.A DE C.V.</v>
          </cell>
        </row>
        <row r="391">
          <cell r="A391" t="str">
            <v>06140206001036</v>
          </cell>
          <cell r="B391" t="str">
            <v>LINEAS PUBLICITARIAS S.A DE C.V.</v>
          </cell>
        </row>
        <row r="392">
          <cell r="A392" t="str">
            <v>06140803061031</v>
          </cell>
          <cell r="B392" t="str">
            <v>FURAGRO, S.A DE C.V.</v>
          </cell>
        </row>
        <row r="393">
          <cell r="A393" t="str">
            <v>06142908661118</v>
          </cell>
          <cell r="B393" t="str">
            <v>EDGARDO ANTONIO URQUILLA AYALA</v>
          </cell>
        </row>
        <row r="394">
          <cell r="A394" t="str">
            <v>12171207011015</v>
          </cell>
          <cell r="B394" t="str">
            <v>INVERSIONES EL AGUILA S.A DE C.V.</v>
          </cell>
        </row>
        <row r="395">
          <cell r="A395" t="str">
            <v>06141812981018</v>
          </cell>
          <cell r="B395" t="str">
            <v>DIGICEL S.A DE C.V.</v>
          </cell>
        </row>
        <row r="396">
          <cell r="A396" t="str">
            <v>06140607941015</v>
          </cell>
          <cell r="B396" t="str">
            <v>PROMEFAR S.A DE C.V.</v>
          </cell>
        </row>
        <row r="397">
          <cell r="A397" t="str">
            <v>09060403540016</v>
          </cell>
          <cell r="B397" t="str">
            <v>VICTOR MANUEL HERNANDEZ QUINTEROS</v>
          </cell>
        </row>
        <row r="398">
          <cell r="A398" t="str">
            <v>06142710610105</v>
          </cell>
          <cell r="B398" t="str">
            <v>SERGIO GALILEO BERMUDEZ</v>
          </cell>
        </row>
        <row r="399">
          <cell r="A399" t="str">
            <v>08050209680010</v>
          </cell>
          <cell r="B399" t="str">
            <v>MARIO ALONSO BAIRES RODRIGUEZ</v>
          </cell>
        </row>
        <row r="400">
          <cell r="A400" t="str">
            <v>06140607191024</v>
          </cell>
          <cell r="B400" t="str">
            <v>GRUPO CUSCATLAN S.A DE C.V.</v>
          </cell>
        </row>
        <row r="401">
          <cell r="A401" t="str">
            <v>05031906450017</v>
          </cell>
          <cell r="B401" t="str">
            <v>JUAN ANTONIO RECINOS</v>
          </cell>
        </row>
        <row r="402">
          <cell r="A402" t="str">
            <v>06141204051040</v>
          </cell>
          <cell r="B402" t="str">
            <v>AMERICAN IMPORTS, S.A DE C.V.</v>
          </cell>
        </row>
        <row r="403">
          <cell r="A403" t="str">
            <v>06141107971011</v>
          </cell>
          <cell r="B403" t="str">
            <v>INNOVACION DIGITAL, S.A DE C.V.</v>
          </cell>
        </row>
        <row r="404">
          <cell r="A404" t="str">
            <v>05031610151010</v>
          </cell>
          <cell r="B404" t="str">
            <v>GRUPO DUARTE LOPEZ S.A DE C.V</v>
          </cell>
        </row>
        <row r="405">
          <cell r="A405" t="str">
            <v>06140806951020</v>
          </cell>
          <cell r="B405" t="str">
            <v>SERVICIOS INTEGRALES MEDICOS</v>
          </cell>
        </row>
        <row r="406">
          <cell r="A406" t="str">
            <v>06171801721029</v>
          </cell>
          <cell r="B406" t="str">
            <v>MARIA MAGDALENA CABRERA DE RODRIGUEZ</v>
          </cell>
        </row>
        <row r="407">
          <cell r="A407" t="str">
            <v>09091004741011</v>
          </cell>
          <cell r="B407" t="str">
            <v>HECTOR WILFREDO DIAZ</v>
          </cell>
        </row>
        <row r="408">
          <cell r="A408" t="str">
            <v>09082807751017</v>
          </cell>
          <cell r="B408" t="str">
            <v>JOSE ARMANDO LOPEZ LAINEZ</v>
          </cell>
        </row>
        <row r="409">
          <cell r="A409" t="str">
            <v>06143012981020</v>
          </cell>
          <cell r="B409" t="str">
            <v>INDUSTRIAS VICAL S.A DE C.V.</v>
          </cell>
        </row>
        <row r="410">
          <cell r="A410" t="str">
            <v>04292409751011</v>
          </cell>
          <cell r="B410" t="str">
            <v>VIDAL HERNANDEZ ERAZO</v>
          </cell>
        </row>
        <row r="411">
          <cell r="A411" t="str">
            <v>06140611181076</v>
          </cell>
          <cell r="B411" t="str">
            <v>DISTRIBUIDORA LAGOS VICUÑA EL SALVADOR</v>
          </cell>
        </row>
        <row r="412">
          <cell r="A412" t="str">
            <v>11083110731013</v>
          </cell>
          <cell r="B412" t="str">
            <v>ANIBAL GALILEO BERMUDEZ BERMUDEZ</v>
          </cell>
        </row>
        <row r="413">
          <cell r="A413" t="str">
            <v>06140801871168</v>
          </cell>
          <cell r="B413" t="str">
            <v>CLAUDIA JUDITH QUINTEROS</v>
          </cell>
        </row>
        <row r="414">
          <cell r="A414" t="str">
            <v>06142803730056</v>
          </cell>
          <cell r="B414" t="str">
            <v>ASEGURADORA AGRICOLA COMERCIAL</v>
          </cell>
        </row>
        <row r="415">
          <cell r="A415" t="str">
            <v>06141203981028</v>
          </cell>
          <cell r="B415" t="str">
            <v>CARGA URGENTE DE EL SALVADOR S.A DE C.V.</v>
          </cell>
        </row>
        <row r="416">
          <cell r="A416" t="str">
            <v>06142601961025</v>
          </cell>
          <cell r="B416" t="str">
            <v>FASOR S.A DE C.V.</v>
          </cell>
        </row>
        <row r="417">
          <cell r="A417" t="str">
            <v>05112507891021</v>
          </cell>
          <cell r="B417" t="str">
            <v>AUTODO S.A DE C.V.</v>
          </cell>
        </row>
        <row r="418">
          <cell r="A418" t="str">
            <v>06141211131017</v>
          </cell>
          <cell r="B418" t="str">
            <v>CORPORACION PROSPERO S.A DE C.V.</v>
          </cell>
        </row>
        <row r="419">
          <cell r="A419" t="str">
            <v>06141804851075</v>
          </cell>
          <cell r="B419" t="str">
            <v>HENRY EDGARDO LARREYNAGA</v>
          </cell>
        </row>
        <row r="420">
          <cell r="A420" t="str">
            <v>06141801101040</v>
          </cell>
          <cell r="B420" t="str">
            <v>ERICK AUTO PARTS S.A DE C.V.</v>
          </cell>
        </row>
        <row r="421">
          <cell r="A421" t="str">
            <v>11012111771014</v>
          </cell>
          <cell r="B421" t="str">
            <v>JOSE REYNALDO ARGUERA GONZALES</v>
          </cell>
        </row>
        <row r="422">
          <cell r="A422" t="str">
            <v>08110901590016</v>
          </cell>
          <cell r="B422" t="str">
            <v>MANUEL DE JESUS HERNANDEZ RODRIGUEZ</v>
          </cell>
        </row>
        <row r="423">
          <cell r="A423" t="str">
            <v>06141008051067</v>
          </cell>
          <cell r="B423" t="str">
            <v>GMG COMERCIAL EL SALVADOR, S.A DE C.V.</v>
          </cell>
        </row>
        <row r="424">
          <cell r="A424" t="str">
            <v>06141711941104</v>
          </cell>
          <cell r="B424" t="str">
            <v>FUNDACION INSTITUTO SALVADOREÑO DEL CEMENTO</v>
          </cell>
        </row>
        <row r="425">
          <cell r="A425" t="str">
            <v>06141903931021</v>
          </cell>
          <cell r="B425" t="str">
            <v>T.V OFFER, S.A DE C.V.</v>
          </cell>
        </row>
        <row r="426">
          <cell r="A426" t="str">
            <v>06142905111010</v>
          </cell>
          <cell r="B426" t="str">
            <v>GRUPO VALMIX S.A DE C.V.</v>
          </cell>
        </row>
        <row r="427">
          <cell r="A427" t="str">
            <v>06141411171030</v>
          </cell>
          <cell r="B427" t="str">
            <v>TEXAS GAS INTERNACIONAL, S.A DE C.V.</v>
          </cell>
        </row>
        <row r="428">
          <cell r="A428" t="str">
            <v>06142001941055</v>
          </cell>
          <cell r="B428" t="str">
            <v>REPUESTOS MIGUELÑOS S.A DE C.V.</v>
          </cell>
        </row>
        <row r="429">
          <cell r="A429" t="str">
            <v>02100402741017</v>
          </cell>
          <cell r="B429" t="str">
            <v>DLMARK GIOVANNI ASCENCIO ORTIZ</v>
          </cell>
        </row>
        <row r="430">
          <cell r="A430" t="str">
            <v>10100312771023</v>
          </cell>
          <cell r="B430" t="str">
            <v>REINA ISABEL SANCHEZ HERNANDEZ</v>
          </cell>
        </row>
        <row r="431">
          <cell r="A431" t="str">
            <v>06142002730017</v>
          </cell>
          <cell r="B431" t="str">
            <v>COMERCIAL AGROPECUARIA S.A DE C.V.</v>
          </cell>
        </row>
        <row r="432">
          <cell r="A432" t="str">
            <v>06142908941013</v>
          </cell>
          <cell r="B432" t="str">
            <v>M3 ASOCIADOS S.A DE C.V.</v>
          </cell>
        </row>
        <row r="433">
          <cell r="A433" t="str">
            <v>06141306161010</v>
          </cell>
          <cell r="B433" t="str">
            <v>ECAT S.A DE C.V.</v>
          </cell>
        </row>
        <row r="434">
          <cell r="A434" t="str">
            <v>14082407031015</v>
          </cell>
          <cell r="B434" t="str">
            <v>SEPROMED, S.A DE C.V.</v>
          </cell>
        </row>
        <row r="435">
          <cell r="A435" t="str">
            <v>06140705921391</v>
          </cell>
          <cell r="B435" t="str">
            <v>ISAAC VLADIMIR CALLEJAS RIVAS</v>
          </cell>
        </row>
        <row r="436">
          <cell r="A436" t="str">
            <v>06140506141077</v>
          </cell>
          <cell r="B436" t="str">
            <v>REDIFAR S.A DE C.V.</v>
          </cell>
        </row>
        <row r="437">
          <cell r="A437" t="str">
            <v>06142306881010</v>
          </cell>
          <cell r="B437" t="str">
            <v>FERROCENTRO S.A DE C.V.</v>
          </cell>
        </row>
        <row r="438">
          <cell r="A438" t="str">
            <v>12170403031010</v>
          </cell>
          <cell r="B438" t="str">
            <v>INVERSIONES ZORTRERAS S.A DE C.V.</v>
          </cell>
        </row>
        <row r="439">
          <cell r="A439" t="str">
            <v>06140907021031</v>
          </cell>
          <cell r="B439" t="str">
            <v>DISEÑARTE S.A DE C.V.</v>
          </cell>
        </row>
        <row r="440">
          <cell r="A440" t="str">
            <v>06142801081062</v>
          </cell>
          <cell r="B440" t="str">
            <v>RADIADORES Y ALGO MAS S.A DE C.V.</v>
          </cell>
        </row>
        <row r="441">
          <cell r="A441" t="str">
            <v>06142709760012</v>
          </cell>
          <cell r="B441" t="str">
            <v>OMNISPORT S.A DE C.V.</v>
          </cell>
        </row>
        <row r="442">
          <cell r="A442" t="str">
            <v>06141112171074</v>
          </cell>
          <cell r="B442" t="str">
            <v>ARISA CONSULTING, S.A DE C.V.</v>
          </cell>
        </row>
        <row r="443">
          <cell r="A443" t="str">
            <v>05111202111011</v>
          </cell>
          <cell r="B443" t="str">
            <v>RESAUTO, S.A DE C.V.</v>
          </cell>
        </row>
        <row r="444">
          <cell r="A444" t="str">
            <v>12091712181010</v>
          </cell>
          <cell r="B444" t="str">
            <v>CEHIMI, S.A DE C.V.</v>
          </cell>
        </row>
        <row r="445">
          <cell r="A445" t="str">
            <v>06141806991010</v>
          </cell>
          <cell r="B445" t="str">
            <v>CENTRAL HIDRAULICA S.A DE C.V.</v>
          </cell>
        </row>
        <row r="446">
          <cell r="A446" t="str">
            <v>06141706091038</v>
          </cell>
          <cell r="B446" t="str">
            <v>DIDEMA, S.A DE C.V.</v>
          </cell>
        </row>
        <row r="447">
          <cell r="A447" t="str">
            <v>06140110191055</v>
          </cell>
          <cell r="B447" t="str">
            <v>HYM, S.A DE C.V.</v>
          </cell>
        </row>
        <row r="448">
          <cell r="A448" t="str">
            <v>06141903931072</v>
          </cell>
          <cell r="B448" t="str">
            <v>BALMORE ALEJANDRO MARTINEZ VIZCARRA</v>
          </cell>
        </row>
        <row r="449">
          <cell r="A449" t="str">
            <v>06140704081039</v>
          </cell>
          <cell r="B449" t="str">
            <v>HOLCIM CONCRETOS, S.A DE C.V.</v>
          </cell>
        </row>
        <row r="450">
          <cell r="A450" t="str">
            <v>06142003921027</v>
          </cell>
          <cell r="B450" t="str">
            <v>MAPRECO S.A DE C.V.</v>
          </cell>
        </row>
        <row r="451">
          <cell r="A451" t="str">
            <v>06142502211030</v>
          </cell>
          <cell r="B451" t="str">
            <v>GRUPO TIRE EXPRESS, S.A DE C.V.</v>
          </cell>
        </row>
        <row r="452">
          <cell r="A452" t="str">
            <v>06140204091054</v>
          </cell>
          <cell r="B452" t="str">
            <v>CEMCOL COMERCIAL, S.A DE C.V.</v>
          </cell>
        </row>
        <row r="453">
          <cell r="A453" t="str">
            <v>06140803991446</v>
          </cell>
          <cell r="B453" t="str">
            <v>TANIA MICHELLE DELGADO VASQUEZ</v>
          </cell>
        </row>
        <row r="454">
          <cell r="A454" t="str">
            <v>05111501901029</v>
          </cell>
          <cell r="B454" t="str">
            <v>ANDRES FRANCISCO ZELAYA ROMERO</v>
          </cell>
        </row>
        <row r="455">
          <cell r="A455" t="str">
            <v>06143101860017</v>
          </cell>
          <cell r="B455" t="str">
            <v>REPUESTOS CANAHUATI S.A DE C.V.</v>
          </cell>
        </row>
        <row r="456">
          <cell r="A456" t="str">
            <v>06140112820027</v>
          </cell>
          <cell r="B456" t="str">
            <v>HOTEL PRELAC S.A DE C.V.</v>
          </cell>
        </row>
        <row r="457">
          <cell r="A457" t="str">
            <v>14081402711011</v>
          </cell>
          <cell r="B457" t="str">
            <v>SERVICENTRO PUMA PRESIDENCIAL</v>
          </cell>
        </row>
        <row r="458">
          <cell r="A458" t="str">
            <v>06142305771172</v>
          </cell>
          <cell r="B458" t="str">
            <v>SALVADOR ANTONIO ESCOBAR DURAN</v>
          </cell>
        </row>
        <row r="459">
          <cell r="A459" t="str">
            <v>05112309861010</v>
          </cell>
          <cell r="B459" t="str">
            <v>LUIS ALBERTO RIVERA MIRANDA</v>
          </cell>
        </row>
        <row r="460">
          <cell r="A460" t="str">
            <v>05033001211017</v>
          </cell>
          <cell r="B460" t="str">
            <v>EDKASA, S.A DE C.V.</v>
          </cell>
        </row>
        <row r="461">
          <cell r="A461" t="str">
            <v>05021704650019</v>
          </cell>
          <cell r="B461" t="str">
            <v>ANBAL ARTEAGA RIVERA</v>
          </cell>
        </row>
        <row r="462">
          <cell r="A462" t="str">
            <v>06141805181057</v>
          </cell>
          <cell r="B462" t="str">
            <v>A &amp; A MULTISERVICIOS, S.A DE C.V.</v>
          </cell>
        </row>
        <row r="463">
          <cell r="A463" t="str">
            <v>06141210081024</v>
          </cell>
          <cell r="B463" t="str">
            <v>GEO CRISDAY S.A DE C.V.</v>
          </cell>
        </row>
        <row r="464">
          <cell r="A464" t="str">
            <v>06141605860015</v>
          </cell>
          <cell r="B464" t="str">
            <v>LIGERAMENTE USADAS, S.A DE C.V.</v>
          </cell>
        </row>
        <row r="465">
          <cell r="A465" t="str">
            <v>06140403931037</v>
          </cell>
          <cell r="B465" t="str">
            <v>TECNIAVES S.A DE C.V.</v>
          </cell>
        </row>
        <row r="466">
          <cell r="A466" t="str">
            <v>06142305881032</v>
          </cell>
          <cell r="B466" t="str">
            <v xml:space="preserve">LABORATORIO SALVADOREÑO DE INGENIERIA </v>
          </cell>
        </row>
        <row r="467">
          <cell r="A467" t="str">
            <v>06142010921011</v>
          </cell>
          <cell r="B467" t="str">
            <v>TS INGENIEROS</v>
          </cell>
        </row>
        <row r="468">
          <cell r="A468" t="str">
            <v>05200406480012</v>
          </cell>
          <cell r="B468" t="str">
            <v>JOSE MARIA CALLES RODAS</v>
          </cell>
        </row>
        <row r="469">
          <cell r="A469" t="str">
            <v>06141511770020</v>
          </cell>
          <cell r="B469" t="str">
            <v>CENTRAL DE RODAMIENTOS S.A DE C.V.</v>
          </cell>
        </row>
        <row r="470">
          <cell r="A470" t="str">
            <v>20220242694</v>
          </cell>
          <cell r="B470" t="str">
            <v>QUANGONG MACHINERY CO LTD</v>
          </cell>
        </row>
        <row r="471">
          <cell r="A471" t="str">
            <v>06140705121042</v>
          </cell>
          <cell r="B471" t="str">
            <v>AVANCORT S.A DE C.V.</v>
          </cell>
        </row>
        <row r="472">
          <cell r="A472" t="str">
            <v>06142004991029</v>
          </cell>
          <cell r="B472" t="str">
            <v>PINTURAS DEL SUR DE EL SALVADOR S.A DE C.V.</v>
          </cell>
        </row>
        <row r="473">
          <cell r="A473" t="str">
            <v>06142101771068</v>
          </cell>
          <cell r="B473" t="str">
            <v>CARLOS ALBERTO REYES GARCIA</v>
          </cell>
        </row>
        <row r="474">
          <cell r="A474" t="str">
            <v>06141501151046</v>
          </cell>
          <cell r="B474" t="str">
            <v>OLC, S.A DE C.V</v>
          </cell>
        </row>
        <row r="475">
          <cell r="A475" t="str">
            <v>06141008661043</v>
          </cell>
          <cell r="B475" t="str">
            <v>DAVID CANAHUATI PINEDA</v>
          </cell>
        </row>
        <row r="476">
          <cell r="A476" t="str">
            <v>10100107701012</v>
          </cell>
          <cell r="B476" t="str">
            <v>OMAR SAUL MERINO ROMERO</v>
          </cell>
        </row>
        <row r="477">
          <cell r="A477" t="str">
            <v>2022284428</v>
          </cell>
          <cell r="B477" t="str">
            <v>INTERMIX GROUP INC</v>
          </cell>
        </row>
        <row r="478">
          <cell r="A478" t="str">
            <v>06142307011043</v>
          </cell>
          <cell r="B478" t="str">
            <v>CORPORACION OCEANICA EL SALVADOR</v>
          </cell>
        </row>
        <row r="479">
          <cell r="A479" t="str">
            <v>06141705620038</v>
          </cell>
          <cell r="B479" t="str">
            <v>ASOCIACION DEMOGRAFICA SALVADOREÑA</v>
          </cell>
        </row>
        <row r="480">
          <cell r="A480" t="str">
            <v>11052105601010</v>
          </cell>
          <cell r="B480" t="str">
            <v>CARLOS HUMBERTO RODRIGUEZ</v>
          </cell>
        </row>
        <row r="481">
          <cell r="A481" t="str">
            <v>05111204540020</v>
          </cell>
          <cell r="B481" t="str">
            <v>JULIO ALBERTO PONCE</v>
          </cell>
        </row>
        <row r="482">
          <cell r="A482" t="str">
            <v>06141910891035</v>
          </cell>
          <cell r="B482" t="str">
            <v>CONSEJO SALVADOREÑO DEL CAFÉ</v>
          </cell>
        </row>
        <row r="483">
          <cell r="A483" t="str">
            <v>06142402061074</v>
          </cell>
          <cell r="B483" t="str">
            <v>PROMED DE EL SALVADOR S.A DE C.V.</v>
          </cell>
        </row>
        <row r="484">
          <cell r="A484" t="str">
            <v>01011807801010</v>
          </cell>
          <cell r="B484" t="str">
            <v>LUIS ERNESTO GARCIA PUENTES</v>
          </cell>
        </row>
        <row r="485">
          <cell r="A485" t="str">
            <v>06142109161080</v>
          </cell>
          <cell r="B485" t="str">
            <v>BUGSTING S.A DE C.V.</v>
          </cell>
        </row>
        <row r="486">
          <cell r="A486" t="str">
            <v>08190805801010</v>
          </cell>
          <cell r="B486" t="str">
            <v xml:space="preserve">ALBA LORENA MOLINA </v>
          </cell>
        </row>
        <row r="487">
          <cell r="A487" t="str">
            <v>06141802781118</v>
          </cell>
          <cell r="B487" t="str">
            <v>CARLOS FERNANDO MARTINEZ UMANZOR</v>
          </cell>
        </row>
        <row r="488">
          <cell r="A488" t="str">
            <v>06141310941010</v>
          </cell>
          <cell r="B488" t="str">
            <v>CENTRO COMERCIAL PLAZA MERLIOT</v>
          </cell>
        </row>
        <row r="489">
          <cell r="A489" t="str">
            <v>06140611720026</v>
          </cell>
          <cell r="B489" t="str">
            <v>CONCRETO PREESFORZADO SALVADOREÑO S.A DE C.V.</v>
          </cell>
        </row>
        <row r="490">
          <cell r="A490" t="str">
            <v>06082908951032</v>
          </cell>
          <cell r="B490" t="str">
            <v>JOSE DANIEL VILLANUEVA ESCOBAR</v>
          </cell>
        </row>
        <row r="491">
          <cell r="A491" t="str">
            <v>06140312931018</v>
          </cell>
          <cell r="B491" t="str">
            <v>BANCO DE AMERICA CENTRAL S.A</v>
          </cell>
        </row>
        <row r="492">
          <cell r="A492" t="str">
            <v>06140801201057</v>
          </cell>
          <cell r="B492" t="str">
            <v>UNION DE PERSONAS, MELENDEZ PITIN</v>
          </cell>
        </row>
        <row r="493">
          <cell r="A493" t="str">
            <v>06142110921080</v>
          </cell>
          <cell r="B493" t="str">
            <v>DAVID ALEJANDRO NAVAS RODRIGUEZ</v>
          </cell>
        </row>
        <row r="494">
          <cell r="A494" t="str">
            <v>02102610171022</v>
          </cell>
          <cell r="B494" t="str">
            <v>DISTRIBUIDORA RINO S.A DE C.V</v>
          </cell>
        </row>
        <row r="495">
          <cell r="A495" t="str">
            <v>06142708820025</v>
          </cell>
          <cell r="B495" t="str">
            <v>QUIMICAL S.A DE C.V.</v>
          </cell>
        </row>
        <row r="496">
          <cell r="A496" t="str">
            <v>06141810011038</v>
          </cell>
          <cell r="B496" t="str">
            <v>DIAGRI, S.A DE C.V.</v>
          </cell>
        </row>
        <row r="497">
          <cell r="A497" t="str">
            <v>06142911161029</v>
          </cell>
          <cell r="B497" t="str">
            <v>FAST CARGO, S.A DE C.V.</v>
          </cell>
        </row>
        <row r="498">
          <cell r="A498" t="str">
            <v>06142602821197</v>
          </cell>
          <cell r="B498" t="str">
            <v>MARIA ELENA  AVELAR OLIVARES</v>
          </cell>
        </row>
        <row r="499">
          <cell r="A499" t="str">
            <v>05110203121022</v>
          </cell>
          <cell r="B499" t="str">
            <v>INVERSIONES EL QUIJOTE S.A DE C.V.</v>
          </cell>
        </row>
        <row r="500">
          <cell r="A500" t="str">
            <v>06140212161088</v>
          </cell>
          <cell r="B500" t="str">
            <v>BEAUTY SUPPLY S.A DE C.V.</v>
          </cell>
        </row>
        <row r="501">
          <cell r="A501" t="str">
            <v>06140506171022</v>
          </cell>
          <cell r="B501" t="str">
            <v>PASOS VERDES S.A DE C.V.</v>
          </cell>
        </row>
        <row r="502">
          <cell r="A502" t="str">
            <v>06140411981043</v>
          </cell>
          <cell r="B502" t="str">
            <v>CORPORACION C&amp;M S.A DE C.V.</v>
          </cell>
        </row>
        <row r="503">
          <cell r="A503" t="str">
            <v>14081304540017</v>
          </cell>
          <cell r="B503" t="str">
            <v>MOISES H. VIDES OLIVA</v>
          </cell>
        </row>
        <row r="504">
          <cell r="A504" t="str">
            <v>05151612570010</v>
          </cell>
          <cell r="B504" t="str">
            <v>JOSE EDGARDO BARRIOS AREVALO</v>
          </cell>
        </row>
        <row r="505">
          <cell r="A505" t="str">
            <v>05110512941018</v>
          </cell>
          <cell r="B505" t="str">
            <v>SOBRES DE EL SALVADOR, S.A DE C.V.</v>
          </cell>
        </row>
        <row r="506">
          <cell r="A506" t="str">
            <v>06142009640022</v>
          </cell>
          <cell r="B506" t="str">
            <v>OSCAR ARMANDO MENDOZA MENENDEZ</v>
          </cell>
        </row>
        <row r="507">
          <cell r="A507" t="str">
            <v>06142405941040</v>
          </cell>
          <cell r="B507" t="str">
            <v>INVERSIONES TEXTILES MAS, S.A DE C.V.</v>
          </cell>
        </row>
        <row r="508">
          <cell r="A508" t="str">
            <v>06142007061014</v>
          </cell>
          <cell r="B508" t="str">
            <v>NUTRI CENTER S.A DE C.V.</v>
          </cell>
        </row>
        <row r="509">
          <cell r="A509" t="str">
            <v>06143007091033</v>
          </cell>
          <cell r="B509" t="str">
            <v>CRECE CENTRO AMERICA S.A DE C.V.</v>
          </cell>
        </row>
        <row r="510">
          <cell r="A510" t="str">
            <v>06142706001019</v>
          </cell>
          <cell r="B510" t="str">
            <v>FARMACIAS CAMILA</v>
          </cell>
        </row>
        <row r="511">
          <cell r="A511" t="str">
            <v>07150312791010</v>
          </cell>
          <cell r="B511" t="str">
            <v>MARLON CRISTIAN ARTIGA LEIVA</v>
          </cell>
        </row>
        <row r="512">
          <cell r="A512" t="str">
            <v>06140306211046</v>
          </cell>
          <cell r="B512" t="str">
            <v>CEMENTO CENTROAMERICANO S.A DE C.V</v>
          </cell>
        </row>
        <row r="513">
          <cell r="A513" t="str">
            <v>06140103791012</v>
          </cell>
          <cell r="B513" t="str">
            <v>ELIA ELIZABETH HERNANDEZ RAUDA</v>
          </cell>
        </row>
        <row r="514">
          <cell r="A514" t="str">
            <v>06031708540016</v>
          </cell>
          <cell r="B514" t="str">
            <v>MARIO ANTONIO NOUBLEAU VALENCIA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GuardarDatos"/>
      <definedName name="LimpiarConsumi"/>
      <definedName name="LimpiarDatos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TALOGO"/>
      <sheetName val="GASTOS"/>
    </sheetNames>
    <sheetDataSet>
      <sheetData sheetId="0">
        <row r="1">
          <cell r="A1" t="str">
            <v xml:space="preserve">CUENTA </v>
          </cell>
          <cell r="B1" t="str">
            <v>CODIGO.</v>
          </cell>
        </row>
        <row r="2">
          <cell r="A2" t="str">
            <v>CUENTAS Y DOCUMENTOS POR COBRAR</v>
          </cell>
          <cell r="B2">
            <v>1103</v>
          </cell>
        </row>
        <row r="3">
          <cell r="A3" t="str">
            <v>Cuentas y documentos por cobrar comerciales</v>
          </cell>
          <cell r="B3">
            <v>110301</v>
          </cell>
        </row>
        <row r="4">
          <cell r="A4" t="str">
            <v>Jose Fabian Vides Orellana</v>
          </cell>
          <cell r="B4">
            <v>11030101</v>
          </cell>
        </row>
        <row r="5">
          <cell r="A5" t="str">
            <v>Negocios Camyram s.a de c.v</v>
          </cell>
          <cell r="B5">
            <v>11030102</v>
          </cell>
        </row>
        <row r="6">
          <cell r="A6" t="str">
            <v>Productos Carnicos s.a de c.v.</v>
          </cell>
          <cell r="B6">
            <v>11030103</v>
          </cell>
        </row>
        <row r="7">
          <cell r="A7" t="str">
            <v>Grupo Paill s.a de c.v.</v>
          </cell>
          <cell r="B7">
            <v>11030104</v>
          </cell>
        </row>
        <row r="8">
          <cell r="A8" t="str">
            <v>Operadora del sur, s. a. de c.v.</v>
          </cell>
          <cell r="B8">
            <v>11030105</v>
          </cell>
        </row>
        <row r="9">
          <cell r="A9" t="str">
            <v>Banco Agricola, s.a.</v>
          </cell>
          <cell r="B9">
            <v>11030106</v>
          </cell>
        </row>
        <row r="10">
          <cell r="A10" t="str">
            <v>Mauricio Anibal Orellana Vides</v>
          </cell>
          <cell r="B10">
            <v>11030107</v>
          </cell>
        </row>
        <row r="11">
          <cell r="A11" t="str">
            <v>Unilever el salvador SCC s.a de c.v.</v>
          </cell>
          <cell r="B11">
            <v>11030108</v>
          </cell>
        </row>
        <row r="12">
          <cell r="A12" t="str">
            <v>Taller Didea, s.a. de c.v.</v>
          </cell>
          <cell r="B12">
            <v>11030109</v>
          </cell>
        </row>
        <row r="13">
          <cell r="A13" t="str">
            <v>Establecimientos Ancalmo, s.a de c.v</v>
          </cell>
          <cell r="B13">
            <v>11030110</v>
          </cell>
        </row>
        <row r="14">
          <cell r="A14" t="str">
            <v>Hoteles s.a de c.v.</v>
          </cell>
          <cell r="B14">
            <v>11030111</v>
          </cell>
        </row>
        <row r="15">
          <cell r="A15" t="str">
            <v>Pintura y Enderezado s.a de c.v.</v>
          </cell>
          <cell r="B15">
            <v>11030112</v>
          </cell>
        </row>
        <row r="16">
          <cell r="A16" t="str">
            <v>Inversiones stanley Pacifico s.a de c.v.</v>
          </cell>
          <cell r="B16">
            <v>11030113</v>
          </cell>
        </row>
        <row r="17">
          <cell r="A17" t="str">
            <v>La Constancia LTDA DE C.V.</v>
          </cell>
          <cell r="B17">
            <v>11030114</v>
          </cell>
        </row>
        <row r="18">
          <cell r="A18" t="str">
            <v>Super Repuestos el salvador s.a de c.v.</v>
          </cell>
          <cell r="B18">
            <v>11030115</v>
          </cell>
        </row>
        <row r="19">
          <cell r="A19" t="str">
            <v>Industrias Mike Mike s.a de c.v.</v>
          </cell>
          <cell r="B19">
            <v>11030116</v>
          </cell>
        </row>
        <row r="20">
          <cell r="A20" t="str">
            <v>Didea s.a de c.v.</v>
          </cell>
          <cell r="B20">
            <v>11030117</v>
          </cell>
        </row>
        <row r="21">
          <cell r="A21" t="str">
            <v>Nemtex s.a de c.v.</v>
          </cell>
          <cell r="B21">
            <v>11030118</v>
          </cell>
        </row>
        <row r="22">
          <cell r="A22" t="str">
            <v>Sykes El Salvador, s.a. de c.v.</v>
          </cell>
          <cell r="B22">
            <v>11030119</v>
          </cell>
        </row>
        <row r="23">
          <cell r="A23" t="str">
            <v>Fundacion Externado San Jose</v>
          </cell>
          <cell r="B23">
            <v>11030120</v>
          </cell>
        </row>
        <row r="24">
          <cell r="A24" t="str">
            <v>Institucion Guadalupana</v>
          </cell>
          <cell r="B24">
            <v>11030121</v>
          </cell>
        </row>
        <row r="25">
          <cell r="A25" t="str">
            <v>Stream Global Services, ltda</v>
          </cell>
          <cell r="B25">
            <v>11030122</v>
          </cell>
        </row>
        <row r="26">
          <cell r="A26" t="str">
            <v>Efrain Humberto Pacheco</v>
          </cell>
          <cell r="B26">
            <v>11030123</v>
          </cell>
        </row>
        <row r="27">
          <cell r="A27" t="str">
            <v>Polybag s.a de c.v.</v>
          </cell>
          <cell r="B27">
            <v>11030124</v>
          </cell>
        </row>
        <row r="28">
          <cell r="A28" t="str">
            <v>Empresas Adoc, s.a. de c.v.</v>
          </cell>
          <cell r="B28">
            <v>11030125</v>
          </cell>
        </row>
        <row r="29">
          <cell r="A29" t="str">
            <v>Erazo Melgar, s.a. de c.v.</v>
          </cell>
          <cell r="B29">
            <v>11030126</v>
          </cell>
        </row>
        <row r="30">
          <cell r="A30" t="str">
            <v>Enmanuel s.a de c.v.</v>
          </cell>
          <cell r="B30">
            <v>11030127</v>
          </cell>
        </row>
        <row r="31">
          <cell r="A31" t="str">
            <v>Mides, sem de c.v.</v>
          </cell>
          <cell r="B31">
            <v>11030128</v>
          </cell>
        </row>
        <row r="32">
          <cell r="A32" t="str">
            <v>Asociacion de condominios centro comercial plaza san benito</v>
          </cell>
          <cell r="B32">
            <v>11030129</v>
          </cell>
        </row>
        <row r="33">
          <cell r="A33" t="str">
            <v>Dietco, s.a. de c.v.</v>
          </cell>
          <cell r="B33">
            <v>11030130</v>
          </cell>
        </row>
        <row r="34">
          <cell r="A34" t="str">
            <v>C. Imberton, s.a. de c.v.</v>
          </cell>
          <cell r="B34">
            <v>11030131</v>
          </cell>
        </row>
        <row r="35">
          <cell r="A35" t="str">
            <v>Convergys Global Services El Salvador</v>
          </cell>
          <cell r="B35">
            <v>11030132</v>
          </cell>
        </row>
        <row r="36">
          <cell r="A36" t="str">
            <v>Terminal del occidente y sur, S.A de C.V</v>
          </cell>
          <cell r="B36">
            <v>11030133</v>
          </cell>
        </row>
        <row r="37">
          <cell r="A37" t="str">
            <v>Corporacion GRS S.A de C.V</v>
          </cell>
          <cell r="B37">
            <v>11030134</v>
          </cell>
        </row>
        <row r="38">
          <cell r="A38" t="str">
            <v>Arturo Trinidad</v>
          </cell>
          <cell r="B38">
            <v>11030135</v>
          </cell>
        </row>
        <row r="39">
          <cell r="A39" t="str">
            <v>Poliflex S.A de C.V.</v>
          </cell>
          <cell r="B39">
            <v>11030136</v>
          </cell>
        </row>
        <row r="40">
          <cell r="A40" t="str">
            <v>PROGURSA S.A DE C.V.</v>
          </cell>
          <cell r="B40">
            <v>11030137</v>
          </cell>
        </row>
        <row r="41">
          <cell r="A41" t="str">
            <v>Consumidor Final</v>
          </cell>
          <cell r="B41">
            <v>11030138</v>
          </cell>
        </row>
        <row r="42">
          <cell r="A42" t="str">
            <v>Pollos Real S.A de C.V.</v>
          </cell>
          <cell r="B42">
            <v>11030139</v>
          </cell>
        </row>
        <row r="43">
          <cell r="A43" t="str">
            <v>BOMBOM S.A DE C.V.</v>
          </cell>
          <cell r="B43">
            <v>11030140</v>
          </cell>
        </row>
        <row r="44">
          <cell r="A44" t="str">
            <v>INGENIERIA BEM S.A DE C.V.</v>
          </cell>
          <cell r="B44">
            <v>11030141</v>
          </cell>
        </row>
        <row r="45">
          <cell r="A45" t="str">
            <v>COMTRI S.A DE C.V.</v>
          </cell>
          <cell r="B45">
            <v>11030142</v>
          </cell>
        </row>
        <row r="46">
          <cell r="A46" t="str">
            <v>GRANJA EL ROBLE S.A DE C.V.</v>
          </cell>
          <cell r="B46">
            <v>11030143</v>
          </cell>
        </row>
        <row r="47">
          <cell r="A47" t="str">
            <v>Multirepuestos</v>
          </cell>
          <cell r="B47">
            <v>11030144</v>
          </cell>
        </row>
        <row r="48">
          <cell r="A48" t="str">
            <v>CAEX LOGISTICS S.A DE C.V.</v>
          </cell>
          <cell r="B48">
            <v>11030145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novo" refreshedDate="44540.591960879632" createdVersion="4" refreshedVersion="4" minRefreshableVersion="3" recordCount="134">
  <cacheSource type="worksheet">
    <worksheetSource name="Tabla2"/>
  </cacheSource>
  <cacheFields count="22">
    <cacheField name="Columna1" numFmtId="0">
      <sharedItems/>
    </cacheField>
    <cacheField name="ESPACIO" numFmtId="0">
      <sharedItems containsBlank="1"/>
    </cacheField>
    <cacheField name="CCF" numFmtId="0">
      <sharedItems containsBlank="1"/>
    </cacheField>
    <cacheField name="CUENTA" numFmtId="0">
      <sharedItems containsMixedTypes="1" containsNumber="1" containsInteger="1" minValue="11030102" maxValue="11030145" count="22">
        <n v="11030105"/>
        <n v="11030124"/>
        <n v="11030145"/>
        <n v="11030103"/>
        <e v="#N/A"/>
        <n v="11030127"/>
        <n v="11030102"/>
        <n v="11030116"/>
        <n v="11030110"/>
        <n v="11030113"/>
        <n v="11030108"/>
        <n v="11030114"/>
        <n v="11030112"/>
        <n v="11030109"/>
        <n v="11030117"/>
        <n v="11030118"/>
        <n v="11030137"/>
        <n v="11030111"/>
        <n v="11030104"/>
        <n v="11030106"/>
        <n v="11030115"/>
        <n v="11030143"/>
      </sharedItems>
    </cacheField>
    <cacheField name="MES" numFmtId="0">
      <sharedItems count="4">
        <s v="NOVIEMBRE"/>
        <s v="OCTUBRE"/>
        <s v="SEPTIEMBRE"/>
        <s v="AGOSTO"/>
      </sharedItems>
    </cacheField>
    <cacheField name="FECHA" numFmtId="0">
      <sharedItems count="35">
        <s v="28/11/2021"/>
        <s v="23/11/2021"/>
        <s v="22/11/2021"/>
        <s v="18/11/2021"/>
        <s v="12/11/2021"/>
        <s v="10/11/2021"/>
        <s v="05/11/2021"/>
        <s v="03/11/2021"/>
        <s v="26/10/2021"/>
        <s v="25/10/2021"/>
        <s v="21/10/2021"/>
        <s v="18/10/2021"/>
        <s v="12/10/2021"/>
        <s v="09/10/2021"/>
        <s v="08/10/2021"/>
        <s v="05/10/2021"/>
        <s v="04/10/2021"/>
        <s v="29/09/2021"/>
        <s v="21/09/2021"/>
        <s v="18/09/2021"/>
        <s v="17/09/2021"/>
        <s v="16/09/2021"/>
        <s v="13/09/2021"/>
        <s v="09/09/2021"/>
        <s v="08/09/2021"/>
        <s v="01/09/2021"/>
        <s v="26/08/2021"/>
        <s v="23/08/2021"/>
        <s v="20/08/2021"/>
        <s v="17/08/2021"/>
        <s v="16/08/2021"/>
        <s v="12/08/2021"/>
        <s v="11/08/2021"/>
        <s v="09/08/2021"/>
        <s v="02/08/2021"/>
      </sharedItems>
    </cacheField>
    <cacheField name="CLASE DE DOC" numFmtId="0">
      <sharedItems/>
    </cacheField>
    <cacheField name="TIPO DE DOC" numFmtId="0">
      <sharedItems/>
    </cacheField>
    <cacheField name="N° DE RESOLUCION" numFmtId="0">
      <sharedItems/>
    </cacheField>
    <cacheField name="SERIE " numFmtId="0">
      <sharedItems/>
    </cacheField>
    <cacheField name="N° DOC" numFmtId="0">
      <sharedItems containsSemiMixedTypes="0" containsString="0" containsNumber="1" containsInteger="1" minValue="1" maxValue="400"/>
    </cacheField>
    <cacheField name="CONTROL" numFmtId="0">
      <sharedItems containsSemiMixedTypes="0" containsString="0" containsNumber="1" containsInteger="1" minValue="1" maxValue="400"/>
    </cacheField>
    <cacheField name="NIT DE CLIENTE" numFmtId="0">
      <sharedItems/>
    </cacheField>
    <cacheField name="NOMBRE DE CLIENTE" numFmtId="0">
      <sharedItems/>
    </cacheField>
    <cacheField name="VENTA EXENTA" numFmtId="44">
      <sharedItems containsSemiMixedTypes="0" containsString="0" containsNumber="1" containsInteger="1" minValue="0" maxValue="0"/>
    </cacheField>
    <cacheField name="VENTA NO SUJETA" numFmtId="44">
      <sharedItems containsSemiMixedTypes="0" containsString="0" containsNumber="1" containsInteger="1" minValue="0" maxValue="0"/>
    </cacheField>
    <cacheField name="V. GRAVADA" numFmtId="44">
      <sharedItems containsSemiMixedTypes="0" containsString="0" containsNumber="1" minValue="0" maxValue="7506.31"/>
    </cacheField>
    <cacheField name="D.FISCAL" numFmtId="44">
      <sharedItems containsSemiMixedTypes="0" containsString="0" containsNumber="1" minValue="0" maxValue="975.82030000000009"/>
    </cacheField>
    <cacheField name="V CTA DE 3" numFmtId="44">
      <sharedItems containsSemiMixedTypes="0" containsString="0" containsNumber="1" containsInteger="1" minValue="0" maxValue="0"/>
    </cacheField>
    <cacheField name="D. FISCAL A 3" numFmtId="44">
      <sharedItems containsSemiMixedTypes="0" containsString="0" containsNumber="1" containsInteger="1" minValue="0" maxValue="0"/>
    </cacheField>
    <cacheField name="VENTA TOTAL" numFmtId="44">
      <sharedItems containsSemiMixedTypes="0" containsString="0" containsNumber="1" minValue="0" maxValue="8482.1303000000007"/>
    </cacheField>
    <cacheField name="ANEXO" numFmtId="0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4">
  <r>
    <s v="OPERADORA DEL SUR, S. A. DE C.V.117"/>
    <m/>
    <m/>
    <x v="0"/>
    <x v="0"/>
    <x v="0"/>
    <s v="1"/>
    <s v="03"/>
    <s v="15041RESIN436312021"/>
    <s v="21DS000C"/>
    <n v="117"/>
    <n v="117"/>
    <s v="06143107971090"/>
    <s v="OPERADORA DEL SUR, S. A. DE C.V."/>
    <n v="0"/>
    <n v="0"/>
    <n v="1820.91"/>
    <n v="236.71830000000003"/>
    <n v="0"/>
    <n v="0"/>
    <n v="2057.6283000000003"/>
    <s v="1"/>
  </r>
  <r>
    <s v="POLYBAG S.A DE C.V.116"/>
    <m/>
    <m/>
    <x v="1"/>
    <x v="0"/>
    <x v="0"/>
    <s v="1"/>
    <s v="03"/>
    <s v="15041RESIN436312021"/>
    <s v="21DS000C"/>
    <n v="116"/>
    <n v="116"/>
    <s v="06140909921072"/>
    <s v="POLYBAG S.A DE C.V."/>
    <n v="0"/>
    <n v="0"/>
    <n v="580"/>
    <n v="75.400000000000006"/>
    <n v="0"/>
    <n v="0"/>
    <n v="655.4"/>
    <s v="1"/>
  </r>
  <r>
    <s v="CAEX LOGISTICS S.A DE C.V.115"/>
    <m/>
    <m/>
    <x v="2"/>
    <x v="0"/>
    <x v="0"/>
    <s v="1"/>
    <s v="03"/>
    <s v="15041RESIN436312021"/>
    <s v="21DS000C"/>
    <n v="115"/>
    <n v="115"/>
    <s v="06141106141074"/>
    <s v="CAEX LOGISTICS S.A DE C.V."/>
    <n v="0"/>
    <n v="0"/>
    <n v="275"/>
    <n v="35.75"/>
    <n v="0"/>
    <n v="0"/>
    <n v="310.75"/>
    <s v="1"/>
  </r>
  <r>
    <s v="PRODUCTOS CARNICOS S.A DE C.V.114"/>
    <m/>
    <m/>
    <x v="3"/>
    <x v="0"/>
    <x v="0"/>
    <s v="1"/>
    <s v="03"/>
    <s v="15041RESIN436312021"/>
    <s v="21DS000C"/>
    <n v="114"/>
    <n v="114"/>
    <s v="06141210830014"/>
    <s v="PRODUCTOS CARNICOS S.A DE C.V."/>
    <n v="0"/>
    <n v="0"/>
    <n v="344.6"/>
    <n v="44.798000000000002"/>
    <n v="0"/>
    <n v="0"/>
    <n v="389.39800000000002"/>
    <s v="1"/>
  </r>
  <r>
    <s v="PRODUCTOS CARNICOS S.A DE C.V.113"/>
    <m/>
    <m/>
    <x v="3"/>
    <x v="0"/>
    <x v="0"/>
    <s v="1"/>
    <s v="03"/>
    <s v="15041RESIN436312021"/>
    <s v="21DS000C"/>
    <n v="113"/>
    <n v="113"/>
    <s v="06141210830014"/>
    <s v="PRODUCTOS CARNICOS S.A DE C.V."/>
    <n v="0"/>
    <n v="0"/>
    <n v="2735.6"/>
    <n v="355.62799999999999"/>
    <n v="0"/>
    <n v="0"/>
    <n v="3091.2280000000001"/>
    <s v="1"/>
  </r>
  <r>
    <s v="ANULADO112"/>
    <m/>
    <m/>
    <x v="4"/>
    <x v="0"/>
    <x v="1"/>
    <s v="1"/>
    <s v="03"/>
    <s v="15041RESIN436312021"/>
    <s v="21DS000C"/>
    <n v="112"/>
    <n v="112"/>
    <s v="00"/>
    <s v="ANULADO"/>
    <n v="0"/>
    <n v="0"/>
    <n v="0"/>
    <n v="0"/>
    <n v="0"/>
    <n v="0"/>
    <n v="0"/>
    <s v="1"/>
  </r>
  <r>
    <s v="ENMANUEL S.A DE C.V.111"/>
    <m/>
    <m/>
    <x v="5"/>
    <x v="0"/>
    <x v="1"/>
    <s v="1"/>
    <s v="03"/>
    <s v="15041RESIN436312021"/>
    <s v="21DS000C"/>
    <n v="111"/>
    <n v="111"/>
    <s v="06141111931016"/>
    <s v="ENMANUEL S.A DE C.V."/>
    <n v="0"/>
    <n v="0"/>
    <n v="300"/>
    <n v="39"/>
    <n v="0"/>
    <n v="0"/>
    <n v="339"/>
    <s v="1"/>
  </r>
  <r>
    <s v="ANULADO110"/>
    <m/>
    <m/>
    <x v="4"/>
    <x v="0"/>
    <x v="1"/>
    <s v="1"/>
    <s v="03"/>
    <s v="15041RESIN436312021"/>
    <s v="21DS000C"/>
    <n v="110"/>
    <n v="110"/>
    <s v="00"/>
    <s v="ANULADO"/>
    <n v="0"/>
    <n v="0"/>
    <n v="0"/>
    <n v="0"/>
    <n v="0"/>
    <n v="0"/>
    <n v="0"/>
    <s v="1"/>
  </r>
  <r>
    <s v="NEGOCIOS CAMYRAM S.A DE C.V109"/>
    <m/>
    <m/>
    <x v="6"/>
    <x v="0"/>
    <x v="1"/>
    <s v="1"/>
    <s v="03"/>
    <s v="15041RESIN436312021"/>
    <s v="21DS000C"/>
    <n v="109"/>
    <n v="109"/>
    <s v="06140101850027"/>
    <s v="NEGOCIOS CAMYRAM S.A DE C.V"/>
    <n v="0"/>
    <n v="0"/>
    <n v="360.26"/>
    <n v="46.833800000000004"/>
    <n v="0"/>
    <n v="0"/>
    <n v="407.09379999999999"/>
    <s v="1"/>
  </r>
  <r>
    <s v="INDUSTRIAS MIKE MIKE S.A DE C.V.108"/>
    <m/>
    <m/>
    <x v="7"/>
    <x v="0"/>
    <x v="1"/>
    <s v="1"/>
    <s v="03"/>
    <s v="15041RESIN436312021"/>
    <s v="21DS000C"/>
    <n v="108"/>
    <n v="108"/>
    <s v="06141009650016"/>
    <s v="INDUSTRIAS MIKE MIKE S.A DE C.V."/>
    <n v="0"/>
    <n v="0"/>
    <n v="165.92"/>
    <n v="21.569599999999998"/>
    <n v="0"/>
    <n v="0"/>
    <n v="187.4896"/>
    <s v="1"/>
  </r>
  <r>
    <s v="ESTABLECIMIENTOS ANCALMO, S.A DE C.V107"/>
    <m/>
    <m/>
    <x v="8"/>
    <x v="0"/>
    <x v="2"/>
    <s v="1"/>
    <s v="03"/>
    <s v="15041RESIN436312021"/>
    <s v="21DS000C"/>
    <n v="107"/>
    <n v="107"/>
    <s v="06142708620024"/>
    <s v="ESTABLECIMIENTOS ANCALMO, S.A DE C.V"/>
    <n v="0"/>
    <n v="0"/>
    <n v="143.63999999999999"/>
    <n v="18.673199999999998"/>
    <n v="0"/>
    <n v="0"/>
    <n v="162.31319999999999"/>
    <s v="1"/>
  </r>
  <r>
    <s v="OPERADORA DEL SUR, S. A. DE C.V.106"/>
    <m/>
    <m/>
    <x v="0"/>
    <x v="0"/>
    <x v="2"/>
    <s v="1"/>
    <s v="03"/>
    <s v="15041RESIN436312021"/>
    <s v="21DS000C"/>
    <n v="106"/>
    <n v="106"/>
    <s v="06143107971090"/>
    <s v="OPERADORA DEL SUR, S. A. DE C.V."/>
    <n v="0"/>
    <n v="0"/>
    <n v="1343.12"/>
    <n v="174.60559999999998"/>
    <n v="0"/>
    <n v="0"/>
    <n v="1517.7255999999998"/>
    <s v="1"/>
  </r>
  <r>
    <s v="OPERADORA DEL SUR, S. A. DE C.V.105"/>
    <m/>
    <m/>
    <x v="0"/>
    <x v="0"/>
    <x v="2"/>
    <s v="1"/>
    <s v="03"/>
    <s v="15041RESIN436312021"/>
    <s v="21DS000C"/>
    <n v="105"/>
    <n v="105"/>
    <s v="06143107971090"/>
    <s v="OPERADORA DEL SUR, S. A. DE C.V."/>
    <n v="0"/>
    <n v="0"/>
    <n v="6791.17"/>
    <n v="882.85210000000006"/>
    <n v="0"/>
    <n v="0"/>
    <n v="7674.0221000000001"/>
    <s v="1"/>
  </r>
  <r>
    <s v="OPERADORA DEL SUR, S. A. DE C.V.104"/>
    <m/>
    <m/>
    <x v="0"/>
    <x v="0"/>
    <x v="3"/>
    <s v="1"/>
    <s v="03"/>
    <s v="15041RESIN436312021"/>
    <s v="21DS000C"/>
    <n v="104"/>
    <n v="104"/>
    <s v="06143107971090"/>
    <s v="OPERADORA DEL SUR, S. A. DE C.V."/>
    <n v="0"/>
    <n v="0"/>
    <n v="537.4"/>
    <n v="69.861999999999995"/>
    <n v="0"/>
    <n v="0"/>
    <n v="607.26199999999994"/>
    <s v="1"/>
  </r>
  <r>
    <s v="ANULADO103"/>
    <m/>
    <m/>
    <x v="4"/>
    <x v="0"/>
    <x v="4"/>
    <s v="1"/>
    <s v="03"/>
    <s v="15041RESIN436312021"/>
    <s v="21DS000C"/>
    <n v="103"/>
    <n v="103"/>
    <s v="00"/>
    <s v="ANULADO"/>
    <n v="0"/>
    <n v="0"/>
    <n v="0"/>
    <n v="0"/>
    <n v="0"/>
    <n v="0"/>
    <n v="0"/>
    <s v="1"/>
  </r>
  <r>
    <s v="INVERSIONES STANLEY PACIFICO S.A DE C.V.102"/>
    <m/>
    <m/>
    <x v="9"/>
    <x v="0"/>
    <x v="4"/>
    <s v="1"/>
    <s v="03"/>
    <s v="15041RESIN436312021"/>
    <s v="21DS000C"/>
    <n v="102"/>
    <n v="102"/>
    <s v="06142808031087"/>
    <s v="INVERSIONES STANLEY PACIFICO S.A DE C.V."/>
    <n v="0"/>
    <n v="0"/>
    <n v="386.64"/>
    <n v="50.263199999999998"/>
    <n v="0"/>
    <n v="0"/>
    <n v="436.90319999999997"/>
    <s v="1"/>
  </r>
  <r>
    <s v="ANULADO101"/>
    <m/>
    <m/>
    <x v="4"/>
    <x v="0"/>
    <x v="4"/>
    <s v="1"/>
    <s v="03"/>
    <s v="15041RESIN436312021"/>
    <s v="21DS000C"/>
    <n v="101"/>
    <n v="101"/>
    <s v="00"/>
    <s v="ANULADO"/>
    <n v="0"/>
    <n v="0"/>
    <n v="0"/>
    <n v="0"/>
    <n v="0"/>
    <n v="0"/>
    <n v="0"/>
    <s v="1"/>
  </r>
  <r>
    <s v="OPERADORA DEL SUR, S. A. DE C.V.100"/>
    <m/>
    <m/>
    <x v="0"/>
    <x v="0"/>
    <x v="4"/>
    <s v="1"/>
    <s v="03"/>
    <s v="15041RESIN436312021"/>
    <s v="21DS000C"/>
    <n v="100"/>
    <n v="100"/>
    <s v="06143107971090"/>
    <s v="OPERADORA DEL SUR, S. A. DE C.V."/>
    <n v="0"/>
    <n v="0"/>
    <n v="225.03"/>
    <n v="29.253900000000002"/>
    <n v="0"/>
    <n v="0"/>
    <n v="254.28390000000002"/>
    <s v="1"/>
  </r>
  <r>
    <s v="OPERADORA DEL SUR, S. A. DE C.V.99"/>
    <m/>
    <m/>
    <x v="0"/>
    <x v="0"/>
    <x v="4"/>
    <s v="1"/>
    <s v="03"/>
    <s v="15041RESIN436312021"/>
    <s v="21DS000C"/>
    <n v="99"/>
    <n v="99"/>
    <s v="06143107971090"/>
    <s v="OPERADORA DEL SUR, S. A. DE C.V."/>
    <n v="0"/>
    <n v="0"/>
    <n v="550"/>
    <n v="71.5"/>
    <n v="0"/>
    <n v="0"/>
    <n v="621.5"/>
    <s v="1"/>
  </r>
  <r>
    <s v="OPERADORA DEL SUR, S. A. DE C.V.98"/>
    <m/>
    <m/>
    <x v="0"/>
    <x v="0"/>
    <x v="4"/>
    <s v="1"/>
    <s v="03"/>
    <s v="15041RESIN436312021"/>
    <s v="21DS000C"/>
    <n v="98"/>
    <n v="98"/>
    <s v="06143107971090"/>
    <s v="OPERADORA DEL SUR, S. A. DE C.V."/>
    <n v="0"/>
    <n v="0"/>
    <n v="500"/>
    <n v="65"/>
    <n v="0"/>
    <n v="0"/>
    <n v="565"/>
    <s v="1"/>
  </r>
  <r>
    <s v="OPERADORA DEL SUR, S. A. DE C.V.97"/>
    <m/>
    <m/>
    <x v="0"/>
    <x v="0"/>
    <x v="4"/>
    <s v="1"/>
    <s v="03"/>
    <s v="15041RESIN436312021"/>
    <s v="21DS000C"/>
    <n v="97"/>
    <n v="97"/>
    <s v="06143107971090"/>
    <s v="OPERADORA DEL SUR, S. A. DE C.V."/>
    <n v="0"/>
    <n v="0"/>
    <n v="2147.04"/>
    <n v="279.11520000000002"/>
    <n v="0"/>
    <n v="0"/>
    <n v="2426.1552000000001"/>
    <s v="1"/>
  </r>
  <r>
    <s v="UNILEVER EL SALVADOR SCC S.A DE C.V.96"/>
    <m/>
    <m/>
    <x v="10"/>
    <x v="0"/>
    <x v="5"/>
    <s v="1"/>
    <s v="03"/>
    <s v="15041RESIN436312021"/>
    <s v="21DS000C"/>
    <n v="96"/>
    <n v="96"/>
    <s v="06142910131029"/>
    <s v="UNILEVER EL SALVADOR SCC S.A DE C.V."/>
    <n v="0"/>
    <n v="0"/>
    <n v="1175.42"/>
    <n v="152.80460000000002"/>
    <n v="0"/>
    <n v="0"/>
    <n v="1328.2246"/>
    <s v="1"/>
  </r>
  <r>
    <s v="LA CONSTANCIA LTDA DE C.V.95"/>
    <m/>
    <m/>
    <x v="11"/>
    <x v="0"/>
    <x v="5"/>
    <s v="1"/>
    <s v="03"/>
    <s v="15041RESIN436312021"/>
    <s v="21DS000C"/>
    <n v="95"/>
    <n v="95"/>
    <s v="06142510021011"/>
    <s v="LA CONSTANCIA LTDA DE C.V."/>
    <n v="0"/>
    <n v="0"/>
    <n v="619.01"/>
    <n v="80.471299999999999"/>
    <n v="0"/>
    <n v="0"/>
    <n v="699.48130000000003"/>
    <s v="1"/>
  </r>
  <r>
    <s v="PINTURA Y ENDEREZADO S.A DE C.V.94"/>
    <m/>
    <m/>
    <x v="12"/>
    <x v="0"/>
    <x v="5"/>
    <s v="1"/>
    <s v="03"/>
    <s v="15041RESIN436312021"/>
    <s v="21DS000C"/>
    <n v="94"/>
    <n v="94"/>
    <s v="06142703780037"/>
    <s v="PINTURA Y ENDEREZADO S.A DE C.V."/>
    <n v="0"/>
    <n v="0"/>
    <n v="148.04"/>
    <n v="19.245200000000001"/>
    <n v="0"/>
    <n v="0"/>
    <n v="167.2852"/>
    <s v="1"/>
  </r>
  <r>
    <s v="TALLER DIDEA, S.A. DE C.V.93"/>
    <m/>
    <m/>
    <x v="13"/>
    <x v="0"/>
    <x v="5"/>
    <s v="1"/>
    <s v="03"/>
    <s v="15041RESIN436312021"/>
    <s v="21DS000C"/>
    <n v="93"/>
    <n v="93"/>
    <s v="06140104620021"/>
    <s v="TALLER DIDEA, S.A. DE C.V."/>
    <n v="0"/>
    <n v="0"/>
    <n v="377.6"/>
    <n v="49.088000000000008"/>
    <n v="0"/>
    <n v="0"/>
    <n v="426.68800000000005"/>
    <s v="1"/>
  </r>
  <r>
    <s v="DIDEA S.A DE C.V.92"/>
    <m/>
    <m/>
    <x v="14"/>
    <x v="0"/>
    <x v="5"/>
    <s v="1"/>
    <s v="03"/>
    <s v="15041RESIN436312021"/>
    <s v="21DS000C"/>
    <n v="92"/>
    <n v="92"/>
    <s v="06143112510011"/>
    <s v="DIDEA S.A DE C.V."/>
    <n v="0"/>
    <n v="0"/>
    <n v="141.1"/>
    <n v="18.343"/>
    <n v="0"/>
    <n v="0"/>
    <n v="159.44299999999998"/>
    <s v="1"/>
  </r>
  <r>
    <s v="ESTABLECIMIENTOS ANCALMO, S.A DE C.V91"/>
    <m/>
    <m/>
    <x v="8"/>
    <x v="0"/>
    <x v="6"/>
    <s v="1"/>
    <s v="03"/>
    <s v="15041RESIN436312021"/>
    <s v="21DS000C"/>
    <n v="91"/>
    <n v="91"/>
    <s v="06142708620024"/>
    <s v="ESTABLECIMIENTOS ANCALMO, S.A DE C.V"/>
    <n v="0"/>
    <n v="0"/>
    <n v="229.69"/>
    <n v="29.8597"/>
    <n v="0"/>
    <n v="0"/>
    <n v="259.54969999999997"/>
    <s v="1"/>
  </r>
  <r>
    <s v="ANULADO90"/>
    <m/>
    <m/>
    <x v="4"/>
    <x v="0"/>
    <x v="6"/>
    <s v="1"/>
    <s v="03"/>
    <s v="15041RESIN436312021"/>
    <s v="21DS000C"/>
    <n v="90"/>
    <n v="90"/>
    <s v="00"/>
    <s v="ANULADO"/>
    <n v="0"/>
    <n v="0"/>
    <n v="0"/>
    <n v="0"/>
    <n v="0"/>
    <n v="0"/>
    <n v="0"/>
    <s v="1"/>
  </r>
  <r>
    <s v="NEMTEX S.A DE C.V.89"/>
    <m/>
    <m/>
    <x v="15"/>
    <x v="0"/>
    <x v="6"/>
    <s v="1"/>
    <s v="03"/>
    <s v="15041RESIN436312021"/>
    <s v="21DS000C"/>
    <n v="89"/>
    <n v="89"/>
    <s v="06141206740014"/>
    <s v="NEMTEX S.A DE C.V."/>
    <n v="0"/>
    <n v="0"/>
    <n v="255.92"/>
    <n v="33.269599999999997"/>
    <n v="0"/>
    <n v="0"/>
    <n v="289.18959999999998"/>
    <s v="1"/>
  </r>
  <r>
    <s v="PROGURSA S.A DE C.V.88"/>
    <m/>
    <m/>
    <x v="16"/>
    <x v="0"/>
    <x v="7"/>
    <s v="1"/>
    <s v="03"/>
    <s v="15041RESIN436312021"/>
    <s v="21DS000C"/>
    <n v="88"/>
    <n v="88"/>
    <s v="06140202021024"/>
    <s v="PROGURSA S.A DE C.V."/>
    <n v="0"/>
    <n v="0"/>
    <n v="150"/>
    <n v="19.5"/>
    <n v="0"/>
    <n v="0"/>
    <n v="169.5"/>
    <s v="1"/>
  </r>
  <r>
    <s v="HOTELES S.A DE C.V.87"/>
    <m/>
    <m/>
    <x v="17"/>
    <x v="0"/>
    <x v="7"/>
    <s v="1"/>
    <s v="03"/>
    <s v="15041RESIN436312021"/>
    <s v="21DS000C"/>
    <n v="87"/>
    <n v="87"/>
    <s v="06142301690017"/>
    <s v="HOTELES S.A DE C.V."/>
    <n v="0"/>
    <n v="0"/>
    <n v="750"/>
    <n v="97.5"/>
    <n v="0"/>
    <n v="0"/>
    <n v="847.5"/>
    <s v="1"/>
  </r>
  <r>
    <s v="GRUPO PAILL S.A DE C.V.86"/>
    <m/>
    <m/>
    <x v="18"/>
    <x v="0"/>
    <x v="7"/>
    <s v="1"/>
    <s v="03"/>
    <s v="15041RESIN436312021"/>
    <s v="21DS000C"/>
    <n v="86"/>
    <n v="86"/>
    <s v="06141512001054"/>
    <s v="GRUPO PAILL S.A DE C.V."/>
    <n v="0"/>
    <n v="0"/>
    <n v="1292.76"/>
    <n v="168.05879999999999"/>
    <n v="0"/>
    <n v="0"/>
    <n v="1460.8188"/>
    <s v="1"/>
  </r>
  <r>
    <s v="BANCO AGRICOLA, S.A.84"/>
    <m/>
    <m/>
    <x v="19"/>
    <x v="0"/>
    <x v="7"/>
    <s v="1"/>
    <s v="03"/>
    <s v="15041RESIN436312021"/>
    <s v="21DS000C"/>
    <n v="84"/>
    <n v="84"/>
    <s v="06143101550016"/>
    <s v="BANCO AGRICOLA, S.A."/>
    <n v="0"/>
    <n v="0"/>
    <n v="152.65"/>
    <n v="19.8445"/>
    <n v="0"/>
    <n v="0"/>
    <n v="172.49450000000002"/>
    <s v="1"/>
  </r>
  <r>
    <s v="BANCO AGRICOLA, S.A.83"/>
    <m/>
    <m/>
    <x v="19"/>
    <x v="0"/>
    <x v="7"/>
    <s v="1"/>
    <s v="03"/>
    <s v="15041RESIN436312021"/>
    <s v="21DS000C"/>
    <n v="83"/>
    <n v="83"/>
    <s v="06143101550016"/>
    <s v="BANCO AGRICOLA, S.A."/>
    <n v="0"/>
    <n v="0"/>
    <n v="357.36"/>
    <n v="46.456800000000001"/>
    <n v="0"/>
    <n v="0"/>
    <n v="403.8168"/>
    <s v="1"/>
  </r>
  <r>
    <s v="ANULADO82"/>
    <m/>
    <m/>
    <x v="4"/>
    <x v="0"/>
    <x v="7"/>
    <s v="1"/>
    <s v="03"/>
    <s v="15041RESIN436312021"/>
    <s v="21DS000C"/>
    <n v="82"/>
    <n v="82"/>
    <s v="00"/>
    <s v="ANULADO"/>
    <n v="0"/>
    <n v="0"/>
    <n v="0"/>
    <n v="0"/>
    <n v="0"/>
    <n v="0"/>
    <n v="0"/>
    <s v="1"/>
  </r>
  <r>
    <s v="ANULADO81"/>
    <m/>
    <m/>
    <x v="4"/>
    <x v="0"/>
    <x v="7"/>
    <s v="1"/>
    <s v="03"/>
    <s v="15041RESIN436312021"/>
    <s v="21DS000C"/>
    <n v="81"/>
    <n v="81"/>
    <s v="00"/>
    <s v="ANULADO"/>
    <n v="0"/>
    <n v="0"/>
    <n v="0"/>
    <n v="0"/>
    <n v="0"/>
    <n v="0"/>
    <n v="0"/>
    <s v="1"/>
  </r>
  <r>
    <s v="SUPER REPUESTOS EL SALVADOR S.A DE C.V.80"/>
    <m/>
    <m/>
    <x v="20"/>
    <x v="0"/>
    <x v="7"/>
    <s v="1"/>
    <s v="03"/>
    <s v="15041RESIN436312021"/>
    <s v="21DS000C"/>
    <n v="80"/>
    <n v="80"/>
    <s v="06141511720027"/>
    <s v="SUPER REPUESTOS EL SALVADOR S.A DE C.V."/>
    <n v="0"/>
    <n v="0"/>
    <n v="195"/>
    <n v="25.35"/>
    <n v="0"/>
    <n v="0"/>
    <n v="220.35"/>
    <s v="1"/>
  </r>
  <r>
    <s v="PRODUCTOS CARNICOS S.A DE C.V. CCF 79"/>
    <s v=" "/>
    <s v="CCF"/>
    <x v="3"/>
    <x v="1"/>
    <x v="8"/>
    <s v="1"/>
    <s v="03"/>
    <s v="15041RESIN436312021"/>
    <s v="21DS000C"/>
    <n v="79"/>
    <n v="79"/>
    <s v="06141210830014"/>
    <s v="PRODUCTOS CARNICOS S.A DE C.V."/>
    <n v="0"/>
    <n v="0"/>
    <n v="344.6"/>
    <n v="44.798000000000002"/>
    <n v="0"/>
    <n v="0"/>
    <n v="389.39800000000002"/>
    <s v="1"/>
  </r>
  <r>
    <s v="PRODUCTOS CARNICOS S.A DE C.V. CCF 78"/>
    <s v=" "/>
    <s v="CCF"/>
    <x v="3"/>
    <x v="1"/>
    <x v="8"/>
    <s v="1"/>
    <s v="03"/>
    <s v="15041RESIN436312021"/>
    <s v="21DS000C"/>
    <n v="78"/>
    <n v="78"/>
    <s v="06141210830014"/>
    <s v="PRODUCTOS CARNICOS S.A DE C.V."/>
    <n v="0"/>
    <n v="0"/>
    <n v="2633.8"/>
    <n v="342.39400000000006"/>
    <n v="0"/>
    <n v="0"/>
    <n v="2976.1940000000004"/>
    <s v="1"/>
  </r>
  <r>
    <s v="OPERADORA DEL SUR, S. A. DE C.V. CCF 77"/>
    <s v=" "/>
    <s v="CCF"/>
    <x v="0"/>
    <x v="1"/>
    <x v="9"/>
    <s v="1"/>
    <s v="03"/>
    <s v="15041RESIN436312021"/>
    <s v="21DS000C"/>
    <n v="77"/>
    <n v="77"/>
    <s v="06143107971090"/>
    <s v="OPERADORA DEL SUR, S. A. DE C.V."/>
    <n v="0"/>
    <n v="0"/>
    <n v="1716.37"/>
    <n v="223.12809999999999"/>
    <n v="0"/>
    <n v="0"/>
    <n v="1939.4980999999998"/>
    <s v="1"/>
  </r>
  <r>
    <s v="OPERADORA DEL SUR, S. A. DE C.V. CCF 76"/>
    <s v=" "/>
    <s v="CCF"/>
    <x v="0"/>
    <x v="1"/>
    <x v="9"/>
    <s v="1"/>
    <s v="03"/>
    <s v="15041RESIN436312021"/>
    <s v="21DS000C"/>
    <n v="76"/>
    <n v="76"/>
    <s v="06143107971090"/>
    <s v="OPERADORA DEL SUR, S. A. DE C.V."/>
    <n v="0"/>
    <n v="0"/>
    <n v="7247.8"/>
    <n v="942.21400000000006"/>
    <n v="0"/>
    <n v="0"/>
    <n v="8190.0140000000001"/>
    <s v="1"/>
  </r>
  <r>
    <s v="OPERADORA DEL SUR, S. A. DE C.V. CCF 75"/>
    <s v=" "/>
    <s v="CCF"/>
    <x v="0"/>
    <x v="1"/>
    <x v="9"/>
    <s v="1"/>
    <s v="03"/>
    <s v="15041RESIN436312021"/>
    <s v="21DS000C"/>
    <n v="75"/>
    <n v="75"/>
    <s v="06143107971090"/>
    <s v="OPERADORA DEL SUR, S. A. DE C.V."/>
    <n v="0"/>
    <n v="0"/>
    <n v="225.03"/>
    <n v="29.253900000000002"/>
    <n v="0"/>
    <n v="0"/>
    <n v="254.28390000000002"/>
    <s v="1"/>
  </r>
  <r>
    <s v="OPERADORA DEL SUR, S. A. DE C.V. CCF 74"/>
    <s v=" "/>
    <s v="CCF"/>
    <x v="0"/>
    <x v="1"/>
    <x v="9"/>
    <s v="1"/>
    <s v="03"/>
    <s v="15041RESIN436312021"/>
    <s v="21DS000C"/>
    <n v="74"/>
    <n v="74"/>
    <s v="06143107971090"/>
    <s v="OPERADORA DEL SUR, S. A. DE C.V."/>
    <n v="0"/>
    <n v="0"/>
    <n v="500"/>
    <n v="65"/>
    <n v="0"/>
    <n v="0"/>
    <n v="565"/>
    <s v="1"/>
  </r>
  <r>
    <s v="OPERADORA DEL SUR, S. A. DE C.V. CCF 73"/>
    <s v=" "/>
    <s v="CCF"/>
    <x v="0"/>
    <x v="1"/>
    <x v="9"/>
    <s v="1"/>
    <s v="03"/>
    <s v="15041RESIN436312021"/>
    <s v="21DS000C"/>
    <n v="73"/>
    <n v="73"/>
    <s v="06143107971090"/>
    <s v="OPERADORA DEL SUR, S. A. DE C.V."/>
    <n v="0"/>
    <n v="0"/>
    <n v="2147.04"/>
    <n v="279.11520000000002"/>
    <n v="0"/>
    <n v="0"/>
    <n v="2426.1552000000001"/>
    <s v="1"/>
  </r>
  <r>
    <s v="OPERADORA DEL SUR, S. A. DE C.V. CCF 72"/>
    <s v=" "/>
    <s v="CCF"/>
    <x v="0"/>
    <x v="1"/>
    <x v="9"/>
    <s v="1"/>
    <s v="03"/>
    <s v="15041RESIN436312021"/>
    <s v="21DS000C"/>
    <n v="72"/>
    <n v="72"/>
    <s v="06143107971090"/>
    <s v="OPERADORA DEL SUR, S. A. DE C.V."/>
    <n v="0"/>
    <n v="0"/>
    <n v="550"/>
    <n v="71.5"/>
    <n v="0"/>
    <n v="0"/>
    <n v="621.5"/>
    <s v="1"/>
  </r>
  <r>
    <s v="ANULADO CCF 71"/>
    <s v=" "/>
    <s v="CCF"/>
    <x v="4"/>
    <x v="1"/>
    <x v="9"/>
    <s v="1"/>
    <s v="03"/>
    <s v="15041RESIN436312021"/>
    <s v="21DS000C"/>
    <n v="71"/>
    <n v="71"/>
    <s v="00"/>
    <s v="ANULADO"/>
    <n v="0"/>
    <n v="0"/>
    <n v="0"/>
    <n v="0"/>
    <n v="0"/>
    <n v="0"/>
    <n v="0"/>
    <s v="1"/>
  </r>
  <r>
    <s v="OPERADORA DEL SUR, S. A. DE C.V. CCF 70"/>
    <s v=" "/>
    <s v="CCF"/>
    <x v="0"/>
    <x v="1"/>
    <x v="10"/>
    <s v="1"/>
    <s v="03"/>
    <s v="15041RESIN436312021"/>
    <s v="21DS000C"/>
    <n v="70"/>
    <n v="70"/>
    <s v="06143107971090"/>
    <s v="OPERADORA DEL SUR, S. A. DE C.V."/>
    <n v="0"/>
    <n v="0"/>
    <n v="495.66"/>
    <n v="64.4358"/>
    <n v="0"/>
    <n v="0"/>
    <n v="560.09580000000005"/>
    <s v="1"/>
  </r>
  <r>
    <s v="OPERADORA DEL SUR, S. A. DE C.V. CCF 69"/>
    <s v=" "/>
    <s v="CCF"/>
    <x v="0"/>
    <x v="1"/>
    <x v="10"/>
    <s v="1"/>
    <s v="03"/>
    <s v="15041RESIN436312021"/>
    <s v="21DS000C"/>
    <n v="69"/>
    <n v="69"/>
    <s v="06143107971090"/>
    <s v="OPERADORA DEL SUR, S. A. DE C.V."/>
    <n v="0"/>
    <n v="0"/>
    <n v="963.96"/>
    <n v="125.31480000000001"/>
    <n v="0"/>
    <n v="0"/>
    <n v="1089.2748000000001"/>
    <s v="1"/>
  </r>
  <r>
    <s v="ANULADO CCF 68"/>
    <s v=" "/>
    <s v="CCF"/>
    <x v="4"/>
    <x v="1"/>
    <x v="10"/>
    <s v="1"/>
    <s v="03"/>
    <s v="15041RESIN436312021"/>
    <s v="21DS000C"/>
    <n v="68"/>
    <n v="68"/>
    <s v="00"/>
    <s v="ANULADO"/>
    <n v="0"/>
    <n v="0"/>
    <n v="0"/>
    <n v="0"/>
    <n v="0"/>
    <n v="0"/>
    <n v="0"/>
    <s v="1"/>
  </r>
  <r>
    <s v="ESTABLECIMIENTOS ANCALMO, S.A DE C.V CCF 67"/>
    <s v=" "/>
    <s v="CCF"/>
    <x v="8"/>
    <x v="1"/>
    <x v="11"/>
    <s v="1"/>
    <s v="03"/>
    <s v="15041RESIN436312021"/>
    <s v="21DS000C"/>
    <n v="67"/>
    <n v="67"/>
    <s v="06142708620024"/>
    <s v="ESTABLECIMIENTOS ANCALMO, S.A DE C.V"/>
    <n v="0"/>
    <n v="0"/>
    <n v="143.63999999999999"/>
    <n v="18.673199999999998"/>
    <n v="0"/>
    <n v="0"/>
    <n v="162.31319999999999"/>
    <s v="1"/>
  </r>
  <r>
    <s v="INDUSTRIAS MIKE MIKE S.A DE C.V. CCF 66"/>
    <s v=" "/>
    <s v="CCF"/>
    <x v="7"/>
    <x v="1"/>
    <x v="11"/>
    <s v="1"/>
    <s v="03"/>
    <s v="15041RESIN436312021"/>
    <s v="21DS000C"/>
    <n v="66"/>
    <n v="66"/>
    <s v="06141009650016"/>
    <s v="INDUSTRIAS MIKE MIKE S.A DE C.V."/>
    <n v="0"/>
    <n v="0"/>
    <n v="165.92"/>
    <n v="21.569599999999998"/>
    <n v="0"/>
    <n v="0"/>
    <n v="187.4896"/>
    <s v="1"/>
  </r>
  <r>
    <s v="INVERSIONES STANLEY PACIFICO S.A DE C.V. CCF 65"/>
    <s v=" "/>
    <s v="CCF"/>
    <x v="9"/>
    <x v="1"/>
    <x v="11"/>
    <s v="1"/>
    <s v="03"/>
    <s v="15041RESIN436312021"/>
    <s v="21DS000C"/>
    <n v="65"/>
    <n v="65"/>
    <s v="06142808031087"/>
    <s v="INVERSIONES STANLEY PACIFICO S.A DE C.V."/>
    <n v="0"/>
    <n v="0"/>
    <n v="386.64"/>
    <n v="50.263199999999998"/>
    <n v="0"/>
    <n v="0"/>
    <n v="436.90319999999997"/>
    <s v="1"/>
  </r>
  <r>
    <s v="NEMTEX S.A DE C.V. CCF 64"/>
    <s v=" "/>
    <s v="CCF"/>
    <x v="15"/>
    <x v="1"/>
    <x v="11"/>
    <s v="1"/>
    <s v="03"/>
    <s v="15041RESIN436312021"/>
    <s v="21DS000C"/>
    <n v="64"/>
    <n v="64"/>
    <s v="06141206740014"/>
    <s v="NEMTEX S.A DE C.V."/>
    <n v="0"/>
    <n v="0"/>
    <n v="255.92"/>
    <n v="33.269599999999997"/>
    <n v="0"/>
    <n v="0"/>
    <n v="289.18959999999998"/>
    <s v="1"/>
  </r>
  <r>
    <s v="CAEX LOGISTICS S.A DE C.V. CCF 63"/>
    <s v=" "/>
    <s v="CCF"/>
    <x v="2"/>
    <x v="1"/>
    <x v="11"/>
    <s v="1"/>
    <s v="03"/>
    <s v="15041RESIN436312021"/>
    <s v="21DS000C"/>
    <n v="63"/>
    <n v="63"/>
    <s v="06141106141074"/>
    <s v="CAEX LOGISTICS S.A DE C.V."/>
    <n v="0"/>
    <n v="0"/>
    <n v="275"/>
    <n v="35.75"/>
    <n v="0"/>
    <n v="0"/>
    <n v="310.75"/>
    <s v="1"/>
  </r>
  <r>
    <s v="ANULADO CCF 62"/>
    <s v=" "/>
    <s v="CCF"/>
    <x v="4"/>
    <x v="1"/>
    <x v="11"/>
    <s v="1"/>
    <s v="03"/>
    <s v="15041RESIN436312021"/>
    <s v="21DS000C"/>
    <n v="62"/>
    <n v="62"/>
    <s v="00"/>
    <s v="ANULADO"/>
    <n v="0"/>
    <n v="0"/>
    <n v="0"/>
    <n v="0"/>
    <n v="0"/>
    <n v="0"/>
    <n v="0"/>
    <s v="1"/>
  </r>
  <r>
    <s v="ENMANUEL S.A DE C.V. CCF 61"/>
    <s v=" "/>
    <s v="CCF"/>
    <x v="5"/>
    <x v="1"/>
    <x v="12"/>
    <s v="1"/>
    <s v="03"/>
    <s v="15041RESIN436312021"/>
    <s v="21DS000C"/>
    <n v="61"/>
    <n v="61"/>
    <s v="06141111931016"/>
    <s v="ENMANUEL S.A DE C.V."/>
    <n v="0"/>
    <n v="0"/>
    <n v="300"/>
    <n v="39"/>
    <n v="0"/>
    <n v="0"/>
    <n v="339"/>
    <s v="1"/>
  </r>
  <r>
    <s v="LA CONSTANCIA LTDA DE C.V. CCF 60"/>
    <s v=" "/>
    <s v="CCF"/>
    <x v="11"/>
    <x v="1"/>
    <x v="12"/>
    <s v="1"/>
    <s v="03"/>
    <s v="15041RESIN436312021"/>
    <s v="21DS000C"/>
    <n v="60"/>
    <n v="60"/>
    <s v="06142510021011"/>
    <s v="LA CONSTANCIA LTDA DE C.V."/>
    <n v="0"/>
    <n v="0"/>
    <n v="619.01"/>
    <n v="80.471299999999999"/>
    <n v="0"/>
    <n v="0"/>
    <n v="699.48130000000003"/>
    <s v="1"/>
  </r>
  <r>
    <s v="GRUPO PAILL S.A DE C.V. CCF 59"/>
    <s v=" "/>
    <s v="CCF"/>
    <x v="18"/>
    <x v="1"/>
    <x v="13"/>
    <s v="1"/>
    <s v="03"/>
    <s v="15041RESIN436312021"/>
    <s v="21DS000C"/>
    <n v="59"/>
    <n v="59"/>
    <s v="06141512001054"/>
    <s v="GRUPO PAILL S.A DE C.V."/>
    <n v="0"/>
    <n v="0"/>
    <n v="1292.76"/>
    <n v="168.05879999999999"/>
    <n v="0"/>
    <n v="0"/>
    <n v="1460.8188"/>
    <s v="1"/>
  </r>
  <r>
    <s v="POLYBAG S.A DE C.V. CCF 58"/>
    <s v=" "/>
    <s v="CCF"/>
    <x v="1"/>
    <x v="1"/>
    <x v="14"/>
    <s v="1"/>
    <s v="03"/>
    <s v="15041RESIN436312021"/>
    <s v="21DS000C"/>
    <n v="58"/>
    <n v="58"/>
    <s v="06140909921072"/>
    <s v="POLYBAG S.A DE C.V."/>
    <n v="0"/>
    <n v="0"/>
    <n v="390"/>
    <n v="50.7"/>
    <n v="0"/>
    <n v="0"/>
    <n v="440.7"/>
    <s v="1"/>
  </r>
  <r>
    <s v="NEGOCIOS CAMYRAM S.A DE C.V CCF 57"/>
    <s v=" "/>
    <s v="CCF"/>
    <x v="6"/>
    <x v="1"/>
    <x v="15"/>
    <s v="1"/>
    <s v="03"/>
    <s v="15041RESIN436312021"/>
    <s v="21DS000C"/>
    <n v="57"/>
    <n v="57"/>
    <s v="06140101850027"/>
    <s v="NEGOCIOS CAMYRAM S.A DE C.V"/>
    <n v="0"/>
    <n v="0"/>
    <n v="360.26"/>
    <n v="46.833800000000004"/>
    <n v="0"/>
    <n v="0"/>
    <n v="407.09379999999999"/>
    <s v="1"/>
  </r>
  <r>
    <s v="BANCO AGRICOLA, S.A. CCF 56"/>
    <s v=" "/>
    <s v="CCF"/>
    <x v="19"/>
    <x v="1"/>
    <x v="15"/>
    <s v="1"/>
    <s v="03"/>
    <s v="15041RESIN436312021"/>
    <s v="21DS000C"/>
    <n v="56"/>
    <n v="56"/>
    <s v="06143101550016"/>
    <s v="BANCO AGRICOLA, S.A."/>
    <n v="0"/>
    <n v="0"/>
    <n v="357.36"/>
    <n v="46.456800000000001"/>
    <n v="0"/>
    <n v="0"/>
    <n v="403.8168"/>
    <s v="1"/>
  </r>
  <r>
    <s v="BANCO AGRICOLA, S.A. CCF 55"/>
    <s v=" "/>
    <s v="CCF"/>
    <x v="19"/>
    <x v="1"/>
    <x v="15"/>
    <s v="1"/>
    <s v="03"/>
    <s v="15041RESIN436312021"/>
    <s v="21DS000C"/>
    <n v="55"/>
    <n v="55"/>
    <s v="06143101550016"/>
    <s v="BANCO AGRICOLA, S.A."/>
    <n v="0"/>
    <n v="0"/>
    <n v="152.65"/>
    <n v="19.8445"/>
    <n v="0"/>
    <n v="0"/>
    <n v="172.49450000000002"/>
    <s v="1"/>
  </r>
  <r>
    <s v="BANCO AGRICOLA, S.A. CCF 54"/>
    <s v=" "/>
    <s v="CCF"/>
    <x v="19"/>
    <x v="1"/>
    <x v="15"/>
    <s v="1"/>
    <s v="03"/>
    <s v="15041RESIN436312021"/>
    <s v="21DS000C"/>
    <n v="54"/>
    <n v="54"/>
    <s v="06143101550016"/>
    <s v="BANCO AGRICOLA, S.A."/>
    <n v="0"/>
    <n v="0"/>
    <n v="152.65"/>
    <n v="19.8445"/>
    <n v="0"/>
    <n v="0"/>
    <n v="172.49450000000002"/>
    <s v="1"/>
  </r>
  <r>
    <s v="SUPER REPUESTOS EL SALVADOR S.A DE C.V. CCF 53"/>
    <s v=" "/>
    <s v="CCF"/>
    <x v="20"/>
    <x v="1"/>
    <x v="15"/>
    <s v="1"/>
    <s v="03"/>
    <s v="15041RESIN436312021"/>
    <s v="21DS000C"/>
    <n v="53"/>
    <n v="53"/>
    <s v="06141511720027"/>
    <s v="SUPER REPUESTOS EL SALVADOR S.A DE C.V."/>
    <n v="0"/>
    <n v="0"/>
    <n v="195"/>
    <n v="25.35"/>
    <n v="0"/>
    <n v="0"/>
    <n v="220.35"/>
    <s v="1"/>
  </r>
  <r>
    <s v="PROGURSA S.A DE C.V. CCF 52"/>
    <s v=" "/>
    <s v="CCF"/>
    <x v="16"/>
    <x v="1"/>
    <x v="15"/>
    <s v="1"/>
    <s v="03"/>
    <s v="15041RESIN436312021"/>
    <s v="21DS000C"/>
    <n v="52"/>
    <n v="52"/>
    <s v="06140202021024"/>
    <s v="PROGURSA S.A DE C.V."/>
    <n v="0"/>
    <n v="0"/>
    <n v="150"/>
    <n v="19.5"/>
    <n v="0"/>
    <n v="0"/>
    <n v="169.5"/>
    <s v="1"/>
  </r>
  <r>
    <s v="UNILEVER EL SALVADOR SCC S.A DE C.V. CCF 51"/>
    <s v=" "/>
    <s v="CCF"/>
    <x v="10"/>
    <x v="1"/>
    <x v="15"/>
    <s v="1"/>
    <s v="03"/>
    <s v="15041RESIN436312021"/>
    <s v="21DS000C"/>
    <n v="51"/>
    <n v="51"/>
    <s v="06142910131029"/>
    <s v="UNILEVER EL SALVADOR SCC S.A DE C.V."/>
    <n v="0"/>
    <n v="0"/>
    <n v="1235.42"/>
    <n v="160.6046"/>
    <n v="0"/>
    <n v="0"/>
    <n v="1396.0246000000002"/>
    <s v="1"/>
  </r>
  <r>
    <s v="HOTELES S.A DE C.V. CCF 50"/>
    <s v=" "/>
    <s v="CCF"/>
    <x v="17"/>
    <x v="1"/>
    <x v="16"/>
    <s v="1"/>
    <s v="03"/>
    <s v="15041RESIN436312021"/>
    <s v="21DS000C"/>
    <n v="50"/>
    <n v="50"/>
    <s v="06142301690017"/>
    <s v="HOTELES S.A DE C.V."/>
    <n v="0"/>
    <n v="0"/>
    <n v="750"/>
    <n v="97.5"/>
    <n v="0"/>
    <n v="0"/>
    <n v="847.5"/>
    <s v="1"/>
  </r>
  <r>
    <s v="PINTURA Y ENDEREZADO S.A DE C.V. CCF 49"/>
    <s v=" "/>
    <s v="CCF"/>
    <x v="12"/>
    <x v="1"/>
    <x v="16"/>
    <s v="1"/>
    <s v="03"/>
    <s v="15041RESIN436312021"/>
    <s v="21DS000C"/>
    <n v="49"/>
    <n v="49"/>
    <s v="06142703780037"/>
    <s v="PINTURA Y ENDEREZADO S.A DE C.V."/>
    <n v="0"/>
    <n v="0"/>
    <n v="148.04"/>
    <n v="19.245200000000001"/>
    <n v="0"/>
    <n v="0"/>
    <n v="167.2852"/>
    <s v="1"/>
  </r>
  <r>
    <s v="DIDEA S.A DE C.V. CCF 48"/>
    <s v=" "/>
    <s v="CCF"/>
    <x v="14"/>
    <x v="1"/>
    <x v="16"/>
    <s v="1"/>
    <s v="03"/>
    <s v="15041RESIN436312021"/>
    <s v="21DS000C"/>
    <n v="48"/>
    <n v="48"/>
    <s v="06143112510011"/>
    <s v="DIDEA S.A DE C.V."/>
    <n v="0"/>
    <n v="0"/>
    <n v="141.1"/>
    <n v="18.343"/>
    <n v="0"/>
    <n v="0"/>
    <n v="159.44299999999998"/>
    <s v="1"/>
  </r>
  <r>
    <s v="TALLER DIDEA, S.A. DE C.V. CCF 47"/>
    <s v=" "/>
    <s v="CCF"/>
    <x v="13"/>
    <x v="1"/>
    <x v="16"/>
    <s v="1"/>
    <s v="03"/>
    <s v="15041RESIN436312021"/>
    <s v="21DS000C"/>
    <n v="47"/>
    <n v="47"/>
    <s v="06140104620021"/>
    <s v="TALLER DIDEA, S.A. DE C.V."/>
    <n v="0"/>
    <n v="0"/>
    <n v="377.6"/>
    <n v="49.088000000000008"/>
    <n v="0"/>
    <n v="0"/>
    <n v="426.68800000000005"/>
    <s v="1"/>
  </r>
  <r>
    <s v="PRODUCTOS CARNICOS S.A DE C.V. CCF 46"/>
    <s v=" "/>
    <s v="CCF"/>
    <x v="3"/>
    <x v="2"/>
    <x v="17"/>
    <s v="1"/>
    <s v="03"/>
    <s v="15041RESIN436312021"/>
    <s v="21DS000C"/>
    <n v="46"/>
    <n v="46"/>
    <s v="06141210830014"/>
    <s v="PRODUCTOS CARNICOS S.A DE C.V."/>
    <n v="0"/>
    <n v="0"/>
    <n v="3163.4"/>
    <n v="411.24200000000002"/>
    <n v="0"/>
    <n v="0"/>
    <n v="3574.6420000000003"/>
    <s v="1"/>
  </r>
  <r>
    <s v="PRODUCTOS CARNICOS S.A DE C.V. CCF 45"/>
    <s v=" "/>
    <s v="CCF"/>
    <x v="3"/>
    <x v="2"/>
    <x v="17"/>
    <s v="1"/>
    <s v="03"/>
    <s v="15041RESIN436312021"/>
    <s v="21DS000C"/>
    <n v="45"/>
    <n v="45"/>
    <s v="06141210830014"/>
    <s v="PRODUCTOS CARNICOS S.A DE C.V."/>
    <n v="0"/>
    <n v="0"/>
    <n v="344.6"/>
    <n v="44.798000000000002"/>
    <n v="0"/>
    <n v="0"/>
    <n v="389.39800000000002"/>
    <s v="1"/>
  </r>
  <r>
    <s v="INDUSTRIAS MIKE MIKE S.A DE C.V. CCF 44"/>
    <s v=" "/>
    <s v="CCF"/>
    <x v="7"/>
    <x v="2"/>
    <x v="18"/>
    <s v="1"/>
    <s v="03"/>
    <s v="15041RESIN436312021"/>
    <s v="21DS000C"/>
    <n v="44"/>
    <n v="44"/>
    <s v="06141009650016"/>
    <s v="INDUSTRIAS MIKE MIKE S.A DE C.V."/>
    <n v="0"/>
    <n v="0"/>
    <n v="165.92"/>
    <n v="21.569599999999998"/>
    <n v="0"/>
    <n v="0"/>
    <n v="187.4896"/>
    <s v="1"/>
  </r>
  <r>
    <s v="NEMTEX S.A DE C.V. CCF 43"/>
    <s v=" "/>
    <s v="CCF"/>
    <x v="15"/>
    <x v="2"/>
    <x v="18"/>
    <s v="1"/>
    <s v="03"/>
    <s v="15041RESIN436312021"/>
    <s v="21DS000C"/>
    <n v="43"/>
    <n v="43"/>
    <s v="06141206740014"/>
    <s v="NEMTEX S.A DE C.V."/>
    <n v="0"/>
    <n v="0"/>
    <n v="255.92"/>
    <n v="33.269599999999997"/>
    <n v="0"/>
    <n v="0"/>
    <n v="289.18959999999998"/>
    <s v="1"/>
  </r>
  <r>
    <s v="INVERSIONES STANLEY PACIFICO S.A DE C.V. CCF 42"/>
    <s v=" "/>
    <s v="CCF"/>
    <x v="9"/>
    <x v="2"/>
    <x v="18"/>
    <s v="1"/>
    <s v="03"/>
    <s v="15041RESIN436312021"/>
    <s v="21DS000C"/>
    <n v="42"/>
    <n v="42"/>
    <s v="06142808031087"/>
    <s v="INVERSIONES STANLEY PACIFICO S.A DE C.V."/>
    <n v="0"/>
    <n v="0"/>
    <n v="386.64"/>
    <n v="50.263199999999998"/>
    <n v="0"/>
    <n v="0"/>
    <n v="436.90319999999997"/>
    <s v="1"/>
  </r>
  <r>
    <s v="GRUPO PAILL S.A DE C.V. CCF 41"/>
    <s v=" "/>
    <s v="CCF"/>
    <x v="18"/>
    <x v="2"/>
    <x v="18"/>
    <s v="1"/>
    <s v="03"/>
    <s v="15041RESIN436312021"/>
    <s v="21DS000C"/>
    <n v="41"/>
    <n v="41"/>
    <s v="06141512001054"/>
    <s v="GRUPO PAILL S.A DE C.V."/>
    <n v="0"/>
    <n v="0"/>
    <n v="1184.68"/>
    <n v="154.00840000000002"/>
    <n v="0"/>
    <n v="0"/>
    <n v="1338.6884"/>
    <s v="1"/>
  </r>
  <r>
    <s v="OPERADORA DEL SUR, S. A. DE C.V. CCF 40"/>
    <s v=" "/>
    <s v="CCF"/>
    <x v="0"/>
    <x v="2"/>
    <x v="18"/>
    <s v="1"/>
    <s v="03"/>
    <s v="15041RESIN436312021"/>
    <s v="21DS000C"/>
    <n v="40"/>
    <n v="40"/>
    <s v="06143107971090"/>
    <s v="OPERADORA DEL SUR, S. A. DE C.V."/>
    <n v="0"/>
    <n v="0"/>
    <n v="6478.43"/>
    <n v="842.19590000000005"/>
    <n v="0"/>
    <n v="0"/>
    <n v="7320.6259"/>
    <s v="1"/>
  </r>
  <r>
    <s v="OPERADORA DEL SUR, S. A. DE C.V. CCF 39"/>
    <s v=" "/>
    <s v="CCF"/>
    <x v="0"/>
    <x v="2"/>
    <x v="18"/>
    <s v="1"/>
    <s v="03"/>
    <s v="15041RESIN436312021"/>
    <s v="21DS000C"/>
    <n v="39"/>
    <n v="39"/>
    <s v="06143107971090"/>
    <s v="OPERADORA DEL SUR, S. A. DE C.V."/>
    <n v="0"/>
    <n v="0"/>
    <n v="1343.12"/>
    <n v="174.60559999999998"/>
    <n v="0"/>
    <n v="0"/>
    <n v="1517.7255999999998"/>
    <s v="1"/>
  </r>
  <r>
    <s v="UNILEVER EL SALVADOR SCC S.A DE C.V. CCF 38"/>
    <s v=" "/>
    <s v="CCF"/>
    <x v="10"/>
    <x v="2"/>
    <x v="18"/>
    <s v="1"/>
    <s v="03"/>
    <s v="15041RESIN436312021"/>
    <s v="21DS000C"/>
    <n v="38"/>
    <n v="38"/>
    <s v="06142910131029"/>
    <s v="UNILEVER EL SALVADOR SCC S.A DE C.V."/>
    <n v="0"/>
    <n v="0"/>
    <n v="1175.42"/>
    <n v="152.80460000000002"/>
    <n v="0"/>
    <n v="0"/>
    <n v="1328.2246"/>
    <s v="1"/>
  </r>
  <r>
    <s v="ESTABLECIMIENTOS ANCALMO, S.A DE C.V CCF 37"/>
    <s v=" "/>
    <s v="CCF"/>
    <x v="8"/>
    <x v="2"/>
    <x v="19"/>
    <s v="1"/>
    <s v="03"/>
    <s v="15041RESIN436312021"/>
    <s v="21DS000C"/>
    <n v="37"/>
    <n v="37"/>
    <s v="06142708620024"/>
    <s v="ESTABLECIMIENTOS ANCALMO, S.A DE C.V"/>
    <n v="0"/>
    <n v="0"/>
    <n v="143.63999999999999"/>
    <n v="18.673199999999998"/>
    <n v="0"/>
    <n v="0"/>
    <n v="162.31319999999999"/>
    <s v="1"/>
  </r>
  <r>
    <s v="LA CONSTANCIA LTDA DE C.V. CCF 36"/>
    <s v=" "/>
    <s v="CCF"/>
    <x v="11"/>
    <x v="2"/>
    <x v="20"/>
    <s v="1"/>
    <s v="03"/>
    <s v="15041RESIN436312021"/>
    <s v="21DS000C"/>
    <n v="36"/>
    <n v="36"/>
    <s v="06142510021011"/>
    <s v="LA CONSTANCIA LTDA DE C.V."/>
    <n v="0"/>
    <n v="0"/>
    <n v="619.01"/>
    <n v="80.471299999999999"/>
    <n v="0"/>
    <n v="0"/>
    <n v="699.48130000000003"/>
    <s v="1"/>
  </r>
  <r>
    <s v="GRANJA EL ROBLE S.A DE C.V. CCF 35"/>
    <s v=" "/>
    <s v="CCF"/>
    <x v="21"/>
    <x v="2"/>
    <x v="21"/>
    <s v="1"/>
    <s v="03"/>
    <s v="15041RESIN436312021"/>
    <s v="21DS000C"/>
    <n v="35"/>
    <n v="35"/>
    <s v="06140901921022"/>
    <s v="GRANJA EL ROBLE S.A DE C.V."/>
    <n v="0"/>
    <n v="0"/>
    <n v="281.42"/>
    <n v="36.584600000000002"/>
    <n v="0"/>
    <n v="0"/>
    <n v="318.00460000000004"/>
    <s v="1"/>
  </r>
  <r>
    <s v="ANULADO CCF 34"/>
    <s v=" "/>
    <s v="CCF"/>
    <x v="4"/>
    <x v="2"/>
    <x v="21"/>
    <s v="1"/>
    <s v="03"/>
    <s v="15041RESIN436312021"/>
    <s v="21DS000C"/>
    <n v="34"/>
    <n v="34"/>
    <s v="00"/>
    <s v="ANULADO"/>
    <n v="0"/>
    <n v="0"/>
    <n v="0"/>
    <n v="0"/>
    <n v="0"/>
    <n v="0"/>
    <n v="0"/>
    <s v="1"/>
  </r>
  <r>
    <s v="OPERADORA DEL SUR, S. A. DE C.V. CCF 33"/>
    <s v=" "/>
    <s v="CCF"/>
    <x v="0"/>
    <x v="2"/>
    <x v="21"/>
    <s v="1"/>
    <s v="03"/>
    <s v="15041RESIN436312021"/>
    <s v="21DS000C"/>
    <n v="33"/>
    <n v="33"/>
    <s v="06143107971090"/>
    <s v="OPERADORA DEL SUR, S. A. DE C.V."/>
    <n v="0"/>
    <n v="0"/>
    <n v="356.26"/>
    <n v="46.313800000000001"/>
    <n v="0"/>
    <n v="0"/>
    <n v="402.57380000000001"/>
    <s v="1"/>
  </r>
  <r>
    <s v="OPERADORA DEL SUR, S. A. DE C.V. CCF 32"/>
    <s v=" "/>
    <s v="CCF"/>
    <x v="0"/>
    <x v="2"/>
    <x v="21"/>
    <s v="1"/>
    <s v="03"/>
    <s v="15041RESIN436312021"/>
    <s v="21DS000C"/>
    <n v="32"/>
    <n v="32"/>
    <s v="06143107971090"/>
    <s v="OPERADORA DEL SUR, S. A. DE C.V."/>
    <n v="0"/>
    <n v="0"/>
    <n v="680.32"/>
    <n v="88.441600000000008"/>
    <n v="0"/>
    <n v="0"/>
    <n v="768.76160000000004"/>
    <s v="1"/>
  </r>
  <r>
    <s v="OPERADORA DEL SUR, S. A. DE C.V. CCF 31"/>
    <s v=" "/>
    <s v="CCF"/>
    <x v="0"/>
    <x v="2"/>
    <x v="21"/>
    <s v="1"/>
    <s v="03"/>
    <s v="15041RESIN436312021"/>
    <s v="21DS000C"/>
    <n v="31"/>
    <n v="31"/>
    <s v="06143107971090"/>
    <s v="OPERADORA DEL SUR, S. A. DE C.V."/>
    <n v="0"/>
    <n v="0"/>
    <n v="281.27999999999997"/>
    <n v="36.566399999999994"/>
    <n v="0"/>
    <n v="0"/>
    <n v="317.84639999999996"/>
    <s v="1"/>
  </r>
  <r>
    <s v="OPERADORA DEL SUR, S. A. DE C.V. CCF 30"/>
    <s v=" "/>
    <s v="CCF"/>
    <x v="0"/>
    <x v="2"/>
    <x v="21"/>
    <s v="1"/>
    <s v="03"/>
    <s v="15041RESIN436312021"/>
    <s v="21DS000C"/>
    <n v="30"/>
    <n v="30"/>
    <s v="06143107971090"/>
    <s v="OPERADORA DEL SUR, S. A. DE C.V."/>
    <n v="0"/>
    <n v="0"/>
    <n v="500"/>
    <n v="65"/>
    <n v="0"/>
    <n v="0"/>
    <n v="565"/>
    <s v="1"/>
  </r>
  <r>
    <s v="OPERADORA DEL SUR, S. A. DE C.V. CCF 29"/>
    <s v=" "/>
    <s v="CCF"/>
    <x v="0"/>
    <x v="2"/>
    <x v="21"/>
    <s v="1"/>
    <s v="03"/>
    <s v="15041RESIN436312021"/>
    <s v="21DS000C"/>
    <n v="29"/>
    <n v="29"/>
    <s v="06143107971090"/>
    <s v="OPERADORA DEL SUR, S. A. DE C.V."/>
    <n v="0"/>
    <n v="0"/>
    <n v="2147.04"/>
    <n v="279.11520000000002"/>
    <n v="0"/>
    <n v="0"/>
    <n v="2426.1552000000001"/>
    <s v="1"/>
  </r>
  <r>
    <s v="OPERADORA DEL SUR, S. A. DE C.V. CCF 28"/>
    <s v=" "/>
    <s v="CCF"/>
    <x v="0"/>
    <x v="2"/>
    <x v="21"/>
    <s v="1"/>
    <s v="03"/>
    <s v="15041RESIN436312021"/>
    <s v="21DS000C"/>
    <n v="28"/>
    <n v="28"/>
    <s v="06143107971090"/>
    <s v="OPERADORA DEL SUR, S. A. DE C.V."/>
    <n v="0"/>
    <n v="0"/>
    <n v="550"/>
    <n v="71.5"/>
    <n v="0"/>
    <n v="0"/>
    <n v="621.5"/>
    <s v="1"/>
  </r>
  <r>
    <s v="ANULADO CCF 27"/>
    <s v=" "/>
    <s v="CCF"/>
    <x v="4"/>
    <x v="2"/>
    <x v="22"/>
    <s v="1"/>
    <s v="03"/>
    <s v="15041RESIN436312021"/>
    <s v="21DS000C"/>
    <n v="27"/>
    <n v="27"/>
    <s v="00"/>
    <s v="ANULADO"/>
    <n v="0"/>
    <n v="0"/>
    <n v="0"/>
    <n v="0"/>
    <n v="0"/>
    <n v="0"/>
    <n v="0"/>
    <s v="1"/>
  </r>
  <r>
    <s v="CAEX LOGISTICS S.A DE C.V. CCF 26"/>
    <s v=" "/>
    <s v="CCF"/>
    <x v="2"/>
    <x v="2"/>
    <x v="23"/>
    <s v="1"/>
    <s v="03"/>
    <s v="15041RESIN436312021"/>
    <s v="21DS000C"/>
    <n v="26"/>
    <n v="26"/>
    <s v="06141106141074"/>
    <s v="CAEX LOGISTICS S.A DE C.V."/>
    <n v="0"/>
    <n v="0"/>
    <n v="418.08"/>
    <n v="54.3504"/>
    <n v="0"/>
    <n v="0"/>
    <n v="472.43039999999996"/>
    <s v="1"/>
  </r>
  <r>
    <s v="ANULADO CCF 25"/>
    <s v=" "/>
    <s v="CCF"/>
    <x v="4"/>
    <x v="2"/>
    <x v="23"/>
    <s v="1"/>
    <s v="03"/>
    <s v="15041RESIN436312021"/>
    <s v="21DS000C"/>
    <n v="25"/>
    <n v="25"/>
    <s v="00"/>
    <s v="ANULADO"/>
    <n v="0"/>
    <n v="0"/>
    <n v="0"/>
    <n v="0"/>
    <n v="0"/>
    <n v="0"/>
    <n v="0"/>
    <s v="1"/>
  </r>
  <r>
    <s v="ENMANUEL S.A DE C.V. CCF 24"/>
    <s v=" "/>
    <s v="CCF"/>
    <x v="5"/>
    <x v="2"/>
    <x v="23"/>
    <s v="1"/>
    <s v="03"/>
    <s v="15041RESIN436312021"/>
    <s v="21DS000C"/>
    <n v="24"/>
    <n v="24"/>
    <s v="06141111931016"/>
    <s v="ENMANUEL S.A DE C.V."/>
    <n v="0"/>
    <n v="0"/>
    <n v="375"/>
    <n v="48.75"/>
    <n v="0"/>
    <n v="0"/>
    <n v="423.75"/>
    <s v="1"/>
  </r>
  <r>
    <s v="POLYBAG S.A DE C.V. CCF 23"/>
    <s v=" "/>
    <s v="CCF"/>
    <x v="1"/>
    <x v="2"/>
    <x v="23"/>
    <s v="1"/>
    <s v="03"/>
    <s v="15041RESIN436312021"/>
    <s v="21DS000C"/>
    <n v="23"/>
    <n v="23"/>
    <s v="06140909921072"/>
    <s v="POLYBAG S.A DE C.V."/>
    <n v="0"/>
    <n v="0"/>
    <n v="315"/>
    <n v="40.950000000000003"/>
    <n v="0"/>
    <n v="0"/>
    <n v="355.95"/>
    <s v="1"/>
  </r>
  <r>
    <s v="NEGOCIOS CAMYRAM S.A DE C.V CCF 22"/>
    <s v=" "/>
    <s v="CCF"/>
    <x v="6"/>
    <x v="2"/>
    <x v="24"/>
    <s v="1"/>
    <s v="03"/>
    <s v="15041RESIN436312021"/>
    <s v="21DS000C"/>
    <n v="22"/>
    <n v="22"/>
    <s v="06140101850027"/>
    <s v="NEGOCIOS CAMYRAM S.A DE C.V"/>
    <n v="0"/>
    <n v="0"/>
    <n v="360.26"/>
    <n v="46.833800000000004"/>
    <n v="0"/>
    <n v="0"/>
    <n v="407.09379999999999"/>
    <s v="1"/>
  </r>
  <r>
    <s v="ANULADO CCF 21"/>
    <s v=" "/>
    <s v="CCF"/>
    <x v="4"/>
    <x v="2"/>
    <x v="24"/>
    <s v="1"/>
    <s v="03"/>
    <s v="15041RESIN436312021"/>
    <s v="21DS000C"/>
    <n v="21"/>
    <n v="21"/>
    <s v="00"/>
    <s v="ANULADO"/>
    <n v="0"/>
    <n v="0"/>
    <n v="0"/>
    <n v="0"/>
    <n v="0"/>
    <n v="0"/>
    <n v="0"/>
    <s v="1"/>
  </r>
  <r>
    <s v="SUPER REPUESTOS EL SALVADOR S.A DE C.V. CCF 20"/>
    <s v=" "/>
    <s v="CCF"/>
    <x v="20"/>
    <x v="2"/>
    <x v="25"/>
    <s v="1"/>
    <s v="03"/>
    <s v="15041RESIN436312021"/>
    <s v="21DS000C"/>
    <n v="20"/>
    <n v="20"/>
    <s v="06141511720027"/>
    <s v="SUPER REPUESTOS EL SALVADOR S.A DE C.V."/>
    <n v="0"/>
    <n v="0"/>
    <n v="150"/>
    <n v="19.5"/>
    <n v="0"/>
    <n v="0"/>
    <n v="169.5"/>
    <s v="1"/>
  </r>
  <r>
    <s v="PROGURSA S.A DE C.V. CCF 19"/>
    <s v=" "/>
    <s v="CCF"/>
    <x v="16"/>
    <x v="2"/>
    <x v="25"/>
    <s v="1"/>
    <s v="03"/>
    <s v="15041RESIN436312021"/>
    <s v="21DS000C"/>
    <n v="19"/>
    <n v="19"/>
    <s v="06140202021024"/>
    <s v="PROGURSA S.A DE C.V."/>
    <n v="0"/>
    <n v="0"/>
    <n v="150"/>
    <n v="19.5"/>
    <n v="0"/>
    <n v="0"/>
    <n v="169.5"/>
    <s v="1"/>
  </r>
  <r>
    <s v="OPERADORA DEL SUR, S. A. DE C.V. CCF 18"/>
    <s v=" "/>
    <s v="CCF"/>
    <x v="0"/>
    <x v="2"/>
    <x v="25"/>
    <s v="1"/>
    <s v="03"/>
    <s v="15041RESIN436312021"/>
    <s v="21DS000C"/>
    <n v="18"/>
    <n v="18"/>
    <s v="06143107971090"/>
    <s v="OPERADORA DEL SUR, S. A. DE C.V."/>
    <n v="0"/>
    <n v="0"/>
    <n v="728.19"/>
    <n v="94.664700000000011"/>
    <n v="0"/>
    <n v="0"/>
    <n v="822.85470000000009"/>
    <s v="1"/>
  </r>
  <r>
    <s v="BANCO AGRICOLA, S.A. CCF 17"/>
    <s v=" "/>
    <s v="CCF"/>
    <x v="19"/>
    <x v="2"/>
    <x v="25"/>
    <s v="1"/>
    <s v="03"/>
    <s v="15041RESIN436312021"/>
    <s v="21DS000C"/>
    <n v="17"/>
    <n v="17"/>
    <s v="06143101550016"/>
    <s v="BANCO AGRICOLA, S.A."/>
    <n v="0"/>
    <n v="0"/>
    <n v="152.65"/>
    <n v="19.8445"/>
    <n v="0"/>
    <n v="0"/>
    <n v="172.49450000000002"/>
    <s v="1"/>
  </r>
  <r>
    <s v="BANCO AGRICOLA, S.A. CCF 16"/>
    <s v=" "/>
    <s v="CCF"/>
    <x v="19"/>
    <x v="2"/>
    <x v="25"/>
    <s v="1"/>
    <s v="03"/>
    <s v="15041RESIN436312021"/>
    <s v="21DS000C"/>
    <n v="16"/>
    <n v="16"/>
    <s v="06143101550016"/>
    <s v="BANCO AGRICOLA, S.A."/>
    <n v="0"/>
    <n v="0"/>
    <n v="152.65"/>
    <n v="19.8445"/>
    <n v="0"/>
    <n v="0"/>
    <n v="172.49450000000002"/>
    <s v="1"/>
  </r>
  <r>
    <s v="BANCO AGRICOLA, S.A. CCF 15"/>
    <s v=" "/>
    <s v="CCF"/>
    <x v="19"/>
    <x v="2"/>
    <x v="25"/>
    <s v="1"/>
    <s v="03"/>
    <s v="15041RESIN436312021"/>
    <s v="21DS000C"/>
    <n v="15"/>
    <n v="15"/>
    <s v="06143101550016"/>
    <s v="BANCO AGRICOLA, S.A."/>
    <n v="0"/>
    <n v="0"/>
    <n v="357.36"/>
    <n v="46.456800000000001"/>
    <n v="0"/>
    <n v="0"/>
    <n v="403.8168"/>
    <s v="1"/>
  </r>
  <r>
    <s v="HOTELES S.A DE C.V. CCF 14"/>
    <s v=" "/>
    <s v="CCF"/>
    <x v="17"/>
    <x v="2"/>
    <x v="25"/>
    <s v="1"/>
    <s v="03"/>
    <s v="15041RESIN436312021"/>
    <s v="21DS000C"/>
    <n v="14"/>
    <n v="14"/>
    <s v="06142301690017"/>
    <s v="HOTELES S.A DE C.V."/>
    <n v="0"/>
    <n v="0"/>
    <n v="750"/>
    <n v="97.5"/>
    <n v="0"/>
    <n v="0"/>
    <n v="847.5"/>
    <s v="1"/>
  </r>
  <r>
    <s v="TALLER DIDEA, S.A. DE C.V. CCF 13"/>
    <s v=" "/>
    <s v="CCF"/>
    <x v="13"/>
    <x v="2"/>
    <x v="25"/>
    <s v="1"/>
    <s v="03"/>
    <s v="15041RESIN436312021"/>
    <s v="21DS000C"/>
    <n v="13"/>
    <n v="13"/>
    <s v="06140104620021"/>
    <s v="TALLER DIDEA, S.A. DE C.V."/>
    <n v="0"/>
    <n v="0"/>
    <n v="377.6"/>
    <n v="49.088000000000008"/>
    <n v="0"/>
    <n v="0"/>
    <n v="426.68800000000005"/>
    <s v="1"/>
  </r>
  <r>
    <s v="DIDEA S.A DE C.V. CCF 12"/>
    <s v=" "/>
    <s v="CCF"/>
    <x v="14"/>
    <x v="2"/>
    <x v="25"/>
    <s v="1"/>
    <s v="03"/>
    <s v="15041RESIN436312021"/>
    <s v="21DS000C"/>
    <n v="12"/>
    <n v="12"/>
    <s v="06143112510011"/>
    <s v="DIDEA S.A DE C.V."/>
    <n v="0"/>
    <n v="0"/>
    <n v="141.1"/>
    <n v="18.343"/>
    <n v="0"/>
    <n v="0"/>
    <n v="159.44299999999998"/>
    <s v="1"/>
  </r>
  <r>
    <s v="PINTURA Y ENDEREZADO S.A DE C.V. CCF 11"/>
    <s v=" "/>
    <s v="CCF"/>
    <x v="12"/>
    <x v="2"/>
    <x v="25"/>
    <s v="1"/>
    <s v="03"/>
    <s v="15041RESIN436312021"/>
    <s v="21DS000C"/>
    <n v="11"/>
    <n v="11"/>
    <s v="06142703780037"/>
    <s v="PINTURA Y ENDEREZADO S.A DE C.V."/>
    <n v="0"/>
    <n v="0"/>
    <n v="148.04"/>
    <n v="19.245200000000001"/>
    <n v="0"/>
    <n v="0"/>
    <n v="167.2852"/>
    <s v="1"/>
  </r>
  <r>
    <s v="PRODUCTOS CARNICOS S.A DE C.V. CCF 10"/>
    <s v=" "/>
    <s v="CCF"/>
    <x v="3"/>
    <x v="3"/>
    <x v="26"/>
    <s v="1"/>
    <s v="03"/>
    <s v="15041RESIN436312021"/>
    <s v="21DS000C"/>
    <n v="10"/>
    <n v="10"/>
    <s v="06141210830014"/>
    <s v="PRODUCTOS CARNICOS S.A DE C.V."/>
    <n v="0"/>
    <n v="0"/>
    <n v="2498.4"/>
    <n v="324.79200000000003"/>
    <n v="0"/>
    <n v="0"/>
    <n v="2823.192"/>
    <s v="1"/>
  </r>
  <r>
    <s v="PRODUCTOS CARNICOS S.A DE C.V. CCF 9"/>
    <s v=" "/>
    <s v="CCF"/>
    <x v="3"/>
    <x v="3"/>
    <x v="26"/>
    <s v="1"/>
    <s v="03"/>
    <s v="15041RESIN436312021"/>
    <s v="21DS000C"/>
    <n v="9"/>
    <n v="9"/>
    <s v="06141210830014"/>
    <s v="PRODUCTOS CARNICOS S.A DE C.V."/>
    <n v="0"/>
    <n v="0"/>
    <n v="344.6"/>
    <n v="44.798000000000002"/>
    <n v="0"/>
    <n v="0"/>
    <n v="389.39800000000002"/>
    <s v="1"/>
  </r>
  <r>
    <s v="OPERADORA DEL SUR, S. A. DE C.V. CCF 8"/>
    <s v=" "/>
    <s v="CCF"/>
    <x v="0"/>
    <x v="3"/>
    <x v="27"/>
    <s v="1"/>
    <s v="03"/>
    <s v="15041RESIN436312021"/>
    <s v="21DS000C"/>
    <n v="8"/>
    <n v="8"/>
    <s v="06143107971090"/>
    <s v="OPERADORA DEL SUR, S. A. DE C.V."/>
    <n v="0"/>
    <n v="0"/>
    <n v="7506.31"/>
    <n v="975.82030000000009"/>
    <n v="0"/>
    <n v="0"/>
    <n v="8482.1303000000007"/>
    <s v="1"/>
  </r>
  <r>
    <s v="NEGOCIOS CAMYRAM S.A DE C.V CCF 7"/>
    <s v=" "/>
    <s v="CCF"/>
    <x v="6"/>
    <x v="3"/>
    <x v="28"/>
    <s v="1"/>
    <s v="03"/>
    <s v="15041RESIN436312021"/>
    <s v="21DS000C"/>
    <n v="7"/>
    <n v="7"/>
    <s v="06140101850027"/>
    <s v="NEGOCIOS CAMYRAM S.A DE C.V"/>
    <n v="0"/>
    <n v="0"/>
    <n v="360.26"/>
    <n v="46.833800000000004"/>
    <n v="0"/>
    <n v="0"/>
    <n v="407.09379999999999"/>
    <s v="1"/>
  </r>
  <r>
    <s v="ESTABLECIMIENTOS ANCALMO, S.A DE C.V CCF 6"/>
    <s v=" "/>
    <s v="CCF"/>
    <x v="8"/>
    <x v="3"/>
    <x v="29"/>
    <s v="1"/>
    <s v="03"/>
    <s v="15041RESIN436312021"/>
    <s v="21DS000C"/>
    <n v="6"/>
    <n v="6"/>
    <s v="06142708620024"/>
    <s v="ESTABLECIMIENTOS ANCALMO, S.A DE C.V"/>
    <n v="0"/>
    <n v="0"/>
    <n v="143.63999999999999"/>
    <n v="18.673199999999998"/>
    <n v="0"/>
    <n v="0"/>
    <n v="162.31319999999999"/>
    <s v="1"/>
  </r>
  <r>
    <s v="OPERADORA DEL SUR, S. A. DE C.V. CCF 5"/>
    <s v=" "/>
    <s v="CCF"/>
    <x v="0"/>
    <x v="3"/>
    <x v="29"/>
    <s v="1"/>
    <s v="03"/>
    <s v="15041RESIN436312021"/>
    <s v="21DS000C"/>
    <n v="5"/>
    <n v="5"/>
    <s v="06143107971090"/>
    <s v="OPERADORA DEL SUR, S. A. DE C.V."/>
    <n v="0"/>
    <n v="0"/>
    <n v="225.03"/>
    <n v="29.253900000000002"/>
    <n v="0"/>
    <n v="0"/>
    <n v="254.28390000000002"/>
    <s v="1"/>
  </r>
  <r>
    <s v="OPERADORA DEL SUR, S. A. DE C.V. CCF 4"/>
    <s v=" "/>
    <s v="CCF"/>
    <x v="0"/>
    <x v="3"/>
    <x v="29"/>
    <s v="1"/>
    <s v="03"/>
    <s v="15041RESIN436312021"/>
    <s v="21DS000C"/>
    <n v="4"/>
    <n v="4"/>
    <s v="06143107971090"/>
    <s v="OPERADORA DEL SUR, S. A. DE C.V."/>
    <n v="0"/>
    <n v="0"/>
    <n v="500"/>
    <n v="65"/>
    <n v="0"/>
    <n v="0"/>
    <n v="565"/>
    <s v="1"/>
  </r>
  <r>
    <s v="OPERADORA DEL SUR, S. A. DE C.V. CCF 3"/>
    <s v=" "/>
    <s v="CCF"/>
    <x v="0"/>
    <x v="3"/>
    <x v="29"/>
    <s v="1"/>
    <s v="03"/>
    <s v="15041RESIN436312021"/>
    <s v="21DS000C"/>
    <n v="3"/>
    <n v="3"/>
    <s v="06143107971090"/>
    <s v="OPERADORA DEL SUR, S. A. DE C.V."/>
    <n v="0"/>
    <n v="0"/>
    <n v="2147.04"/>
    <n v="279.11520000000002"/>
    <n v="0"/>
    <n v="0"/>
    <n v="2426.1552000000001"/>
    <s v="1"/>
  </r>
  <r>
    <s v="OPERADORA DEL SUR, S. A. DE C.V. CCF 2"/>
    <s v=" "/>
    <s v="CCF"/>
    <x v="0"/>
    <x v="3"/>
    <x v="29"/>
    <s v="1"/>
    <s v="03"/>
    <s v="15041RESIN436312021"/>
    <s v="21DS000C"/>
    <n v="2"/>
    <n v="2"/>
    <s v="06143107971090"/>
    <s v="OPERADORA DEL SUR, S. A. DE C.V."/>
    <n v="0"/>
    <n v="0"/>
    <n v="550"/>
    <n v="71.5"/>
    <n v="0"/>
    <n v="0"/>
    <n v="621.5"/>
    <s v="1"/>
  </r>
  <r>
    <s v="INDUSTRIAS MIKE MIKE S.A DE C.V. CCF 1"/>
    <s v=" "/>
    <s v="CCF"/>
    <x v="7"/>
    <x v="3"/>
    <x v="29"/>
    <s v="1"/>
    <s v="03"/>
    <s v="15041RESIN436312021"/>
    <s v="21DS000C"/>
    <n v="1"/>
    <n v="1"/>
    <s v="06141009650016"/>
    <s v="INDUSTRIAS MIKE MIKE S.A DE C.V."/>
    <n v="0"/>
    <n v="0"/>
    <n v="165.92"/>
    <n v="21.569599999999998"/>
    <n v="0"/>
    <n v="0"/>
    <n v="187.4896"/>
    <s v="1"/>
  </r>
  <r>
    <s v="INVERSIONES STANLEY PACIFICO S.A DE C.V. CCF 400"/>
    <s v=" "/>
    <s v="CCF"/>
    <x v="9"/>
    <x v="3"/>
    <x v="26"/>
    <s v="1"/>
    <s v="03"/>
    <s v="15041RESIN308102020"/>
    <s v="20SD000C"/>
    <n v="400"/>
    <n v="400"/>
    <s v="06142808031087"/>
    <s v="INVERSIONES STANLEY PACIFICO S.A DE C.V."/>
    <n v="0"/>
    <n v="0"/>
    <n v="386.64"/>
    <n v="50.263199999999998"/>
    <n v="0"/>
    <n v="0"/>
    <n v="436.90319999999997"/>
    <s v="1"/>
  </r>
  <r>
    <s v="NEMTEX S.A DE C.V. CCF 399"/>
    <s v=" "/>
    <s v="CCF"/>
    <x v="15"/>
    <x v="3"/>
    <x v="29"/>
    <s v="1"/>
    <s v="03"/>
    <s v="15041RESIN308102020"/>
    <s v="20SD000C"/>
    <n v="399"/>
    <n v="399"/>
    <s v="06141206740014"/>
    <s v="NEMTEX S.A DE C.V."/>
    <n v="0"/>
    <n v="0"/>
    <n v="255.92"/>
    <n v="33.269599999999997"/>
    <n v="0"/>
    <n v="0"/>
    <n v="289.18959999999998"/>
    <s v="1"/>
  </r>
  <r>
    <s v="UNILEVER EL SALVADOR SCC S.A DE C.V. CCF 398"/>
    <s v=" "/>
    <s v="CCF"/>
    <x v="10"/>
    <x v="3"/>
    <x v="29"/>
    <s v="1"/>
    <s v="03"/>
    <s v="15041RESIN308102020"/>
    <s v="20SD000C"/>
    <n v="398"/>
    <n v="398"/>
    <s v="06142910131029"/>
    <s v="UNILEVER EL SALVADOR SCC S.A DE C.V."/>
    <n v="0"/>
    <n v="0"/>
    <n v="1235.42"/>
    <n v="160.6046"/>
    <n v="0"/>
    <n v="0"/>
    <n v="1396.0246000000002"/>
    <s v="1"/>
  </r>
  <r>
    <s v="GRANJA EL ROBLE S.A DE C.V. CCF 397"/>
    <s v=" "/>
    <s v="CCF"/>
    <x v="21"/>
    <x v="3"/>
    <x v="30"/>
    <s v="1"/>
    <s v="03"/>
    <s v="15041RESIN308102020"/>
    <s v="20SD000C"/>
    <n v="397"/>
    <n v="397"/>
    <s v="06140901921022"/>
    <s v="GRANJA EL ROBLE S.A DE C.V."/>
    <n v="0"/>
    <n v="0"/>
    <n v="452.14"/>
    <n v="58.778199999999998"/>
    <n v="0"/>
    <n v="0"/>
    <n v="510.91819999999996"/>
    <s v="1"/>
  </r>
  <r>
    <s v="POLYBAG S.A DE C.V. CCF 396"/>
    <s v=" "/>
    <s v="CCF"/>
    <x v="1"/>
    <x v="3"/>
    <x v="31"/>
    <s v="1"/>
    <s v="03"/>
    <s v="15041RESIN308102020"/>
    <s v="20SD000C"/>
    <n v="396"/>
    <n v="396"/>
    <s v="06140909921072"/>
    <s v="POLYBAG S.A DE C.V."/>
    <n v="0"/>
    <n v="0"/>
    <n v="375"/>
    <n v="48.75"/>
    <n v="0"/>
    <n v="0"/>
    <n v="423.75"/>
    <s v="1"/>
  </r>
  <r>
    <s v="ENMANUEL S.A DE C.V. CCF 395"/>
    <s v=" "/>
    <s v="CCF"/>
    <x v="5"/>
    <x v="3"/>
    <x v="31"/>
    <s v="1"/>
    <s v="03"/>
    <s v="15041RESIN308102020"/>
    <s v="20SD000C"/>
    <n v="395"/>
    <n v="395"/>
    <s v="06141111931016"/>
    <s v="ENMANUEL S.A DE C.V."/>
    <n v="0"/>
    <n v="0"/>
    <n v="300"/>
    <n v="39"/>
    <n v="0"/>
    <n v="0"/>
    <n v="339"/>
    <s v="1"/>
  </r>
  <r>
    <s v="GRUPO PAILL S.A DE C.V. CCF 394"/>
    <s v=" "/>
    <s v="CCF"/>
    <x v="18"/>
    <x v="3"/>
    <x v="32"/>
    <s v="1"/>
    <s v="03"/>
    <s v="15041RESIN308102020"/>
    <s v="20SD000C"/>
    <n v="394"/>
    <n v="394"/>
    <s v="06141512001054"/>
    <s v="GRUPO PAILL S.A DE C.V."/>
    <n v="0"/>
    <n v="0"/>
    <n v="1292.76"/>
    <n v="168.05879999999999"/>
    <n v="0"/>
    <n v="0"/>
    <n v="1460.8188"/>
    <s v="1"/>
  </r>
  <r>
    <s v="LA CONSTANCIA LTDA DE C.V. CCF 393"/>
    <s v=" "/>
    <s v="CCF"/>
    <x v="11"/>
    <x v="3"/>
    <x v="32"/>
    <s v="1"/>
    <s v="03"/>
    <s v="15041RESIN308102020"/>
    <s v="20SD000C"/>
    <n v="393"/>
    <n v="393"/>
    <s v="06142510021011"/>
    <s v="LA CONSTANCIA LTDA DE C.V."/>
    <n v="0"/>
    <n v="0"/>
    <n v="619.01"/>
    <n v="80.471299999999999"/>
    <n v="0"/>
    <n v="0"/>
    <n v="699.48130000000003"/>
    <s v="1"/>
  </r>
  <r>
    <s v="LA CONSTANCIA LTDA DE C.V. CCF 392"/>
    <s v=" "/>
    <s v="CCF"/>
    <x v="11"/>
    <x v="3"/>
    <x v="32"/>
    <s v="1"/>
    <s v="03"/>
    <s v="15041RESIN308102020"/>
    <s v="20SD000C"/>
    <n v="392"/>
    <n v="392"/>
    <s v="06142510021011"/>
    <s v="LA CONSTANCIA LTDA DE C.V."/>
    <n v="0"/>
    <n v="0"/>
    <n v="619.01"/>
    <n v="80.471299999999999"/>
    <n v="0"/>
    <n v="0"/>
    <n v="699.48130000000003"/>
    <s v="1"/>
  </r>
  <r>
    <s v="HOTELES S.A DE C.V. CCF 391"/>
    <s v=" "/>
    <s v="CCF"/>
    <x v="17"/>
    <x v="3"/>
    <x v="33"/>
    <s v="1"/>
    <s v="03"/>
    <s v="15041RESIN308102020"/>
    <s v="20SD000C"/>
    <n v="391"/>
    <n v="391"/>
    <s v="06142301690017"/>
    <s v="HOTELES S.A DE C.V."/>
    <n v="0"/>
    <n v="0"/>
    <n v="750"/>
    <n v="97.5"/>
    <n v="0"/>
    <n v="0"/>
    <n v="847.5"/>
    <s v="1"/>
  </r>
  <r>
    <s v="PINTURA Y ENDEREZADO S.A DE C.V. CCF 390"/>
    <s v=" "/>
    <s v="CCF"/>
    <x v="12"/>
    <x v="3"/>
    <x v="33"/>
    <s v="1"/>
    <s v="03"/>
    <s v="15041RESIN308102020"/>
    <s v="20SD000C"/>
    <n v="390"/>
    <n v="390"/>
    <s v="06142703780037"/>
    <s v="PINTURA Y ENDEREZADO S.A DE C.V."/>
    <n v="0"/>
    <n v="0"/>
    <n v="148.04"/>
    <n v="19.245200000000001"/>
    <n v="0"/>
    <n v="0"/>
    <n v="167.2852"/>
    <s v="1"/>
  </r>
  <r>
    <s v="TALLER DIDEA, S.A. DE C.V. CCF 389"/>
    <s v=" "/>
    <s v="CCF"/>
    <x v="13"/>
    <x v="3"/>
    <x v="33"/>
    <s v="1"/>
    <s v="03"/>
    <s v="15041RESIN308102020"/>
    <s v="20SD000C"/>
    <n v="389"/>
    <n v="389"/>
    <s v="06140104620021"/>
    <s v="TALLER DIDEA, S.A. DE C.V."/>
    <n v="0"/>
    <n v="0"/>
    <n v="377.6"/>
    <n v="49.088000000000008"/>
    <n v="0"/>
    <n v="0"/>
    <n v="426.68800000000005"/>
    <s v="1"/>
  </r>
  <r>
    <s v="DIDEA S.A DE C.V. CCF 388"/>
    <s v=" "/>
    <s v="CCF"/>
    <x v="14"/>
    <x v="3"/>
    <x v="33"/>
    <s v="1"/>
    <s v="03"/>
    <s v="15041RESIN308102020"/>
    <s v="20SD000C"/>
    <n v="388"/>
    <n v="388"/>
    <s v="06143112510011"/>
    <s v="DIDEA S.A DE C.V."/>
    <n v="0"/>
    <n v="0"/>
    <n v="141.1"/>
    <n v="18.343"/>
    <n v="0"/>
    <n v="0"/>
    <n v="159.44299999999998"/>
    <s v="1"/>
  </r>
  <r>
    <s v="PROGURSA S.A DE C.V. CCF 387"/>
    <s v=" "/>
    <s v="CCF"/>
    <x v="16"/>
    <x v="3"/>
    <x v="34"/>
    <s v="1"/>
    <s v="03"/>
    <s v="15041RESIN308102020"/>
    <s v="20SD000C"/>
    <n v="387"/>
    <n v="387"/>
    <s v="06140202021024"/>
    <s v="PROGURSA S.A DE C.V."/>
    <n v="0"/>
    <n v="0"/>
    <n v="150"/>
    <n v="19.5"/>
    <n v="0"/>
    <n v="0"/>
    <n v="169.5"/>
    <s v="1"/>
  </r>
  <r>
    <s v="SUPER REPUESTOS EL SALVADOR S.A DE C.V. CCF 386"/>
    <s v=" "/>
    <s v="CCF"/>
    <x v="20"/>
    <x v="3"/>
    <x v="34"/>
    <s v="1"/>
    <s v="03"/>
    <s v="15041RESIN308102020"/>
    <s v="20SD000C"/>
    <n v="386"/>
    <n v="386"/>
    <s v="06141511720027"/>
    <s v="SUPER REPUESTOS EL SALVADOR S.A DE C.V."/>
    <n v="0"/>
    <n v="0"/>
    <n v="220"/>
    <n v="28.6"/>
    <n v="0"/>
    <n v="0"/>
    <n v="248.6"/>
    <s v="1"/>
  </r>
  <r>
    <s v="BANCO AGRICOLA, S.A. CCF 385"/>
    <s v=" "/>
    <s v="CCF"/>
    <x v="19"/>
    <x v="3"/>
    <x v="34"/>
    <s v="1"/>
    <s v="03"/>
    <s v="15041RESIN308102020"/>
    <s v="20SD000C"/>
    <n v="385"/>
    <n v="385"/>
    <s v="06143101550016"/>
    <s v="BANCO AGRICOLA, S.A."/>
    <n v="0"/>
    <n v="0"/>
    <n v="357.36"/>
    <n v="46.456800000000001"/>
    <n v="0"/>
    <n v="0"/>
    <n v="403.8168"/>
    <s v="1"/>
  </r>
  <r>
    <s v="BANCO AGRICOLA, S.A. CCF 384"/>
    <s v=" "/>
    <s v="CCF"/>
    <x v="19"/>
    <x v="3"/>
    <x v="34"/>
    <s v="1"/>
    <s v="03"/>
    <s v="15041RESIN308102020"/>
    <s v="20SD000C"/>
    <n v="384"/>
    <n v="384"/>
    <s v="06143101550016"/>
    <s v="BANCO AGRICOLA, S.A."/>
    <n v="0"/>
    <n v="0"/>
    <n v="152.65"/>
    <n v="19.8445"/>
    <n v="0"/>
    <n v="0"/>
    <n v="172.49450000000002"/>
    <s v="1"/>
  </r>
  <r>
    <s v="BANCO AGRICOLA, S.A. CCF 383"/>
    <s v=" "/>
    <s v="CCF"/>
    <x v="19"/>
    <x v="3"/>
    <x v="34"/>
    <s v="1"/>
    <s v="03"/>
    <s v="15041RESIN308102020"/>
    <s v="20SD000C"/>
    <n v="383"/>
    <n v="383"/>
    <s v="06143101550016"/>
    <s v="BANCO AGRICOLA, S.A."/>
    <n v="0"/>
    <n v="0"/>
    <n v="152.65"/>
    <n v="19.8445"/>
    <n v="0"/>
    <n v="0"/>
    <n v="172.49450000000002"/>
    <s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gridDropZones="1" multipleFieldFilters="0">
  <location ref="A3:B5" firstHeaderRow="2" firstDataRow="2" firstDataCol="1" rowPageCount="1" colPageCount="1"/>
  <pivotFields count="22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2">
        <item x="6"/>
        <item x="3"/>
        <item x="18"/>
        <item x="0"/>
        <item x="19"/>
        <item x="10"/>
        <item x="13"/>
        <item x="8"/>
        <item x="17"/>
        <item x="12"/>
        <item x="9"/>
        <item x="11"/>
        <item x="20"/>
        <item x="7"/>
        <item x="14"/>
        <item x="15"/>
        <item x="1"/>
        <item x="5"/>
        <item x="16"/>
        <item x="21"/>
        <item x="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3"/>
        <item h="1" x="2"/>
        <item h="1" x="1"/>
        <item x="0"/>
        <item t="default"/>
      </items>
    </pivotField>
    <pivotField compact="0" outline="0" showAll="0">
      <items count="36">
        <item h="1" x="25"/>
        <item h="1" x="34"/>
        <item h="1" x="7"/>
        <item x="16"/>
        <item h="1" x="15"/>
        <item h="1" x="6"/>
        <item h="1" x="24"/>
        <item h="1" x="14"/>
        <item h="1" x="33"/>
        <item h="1" x="23"/>
        <item h="1" x="13"/>
        <item h="1" x="5"/>
        <item h="1" x="32"/>
        <item h="1" x="31"/>
        <item h="1" x="12"/>
        <item h="1" x="4"/>
        <item h="1" x="22"/>
        <item h="1" x="30"/>
        <item h="1" x="21"/>
        <item h="1" x="29"/>
        <item h="1" x="20"/>
        <item h="1" x="19"/>
        <item h="1" x="11"/>
        <item h="1" x="3"/>
        <item h="1" x="28"/>
        <item h="1" x="18"/>
        <item h="1" x="10"/>
        <item h="1" x="2"/>
        <item h="1" x="27"/>
        <item h="1" x="1"/>
        <item h="1" x="9"/>
        <item h="1" x="26"/>
        <item h="1" x="8"/>
        <item h="1" x="0"/>
        <item h="1" x="1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numFmtId="44" outline="0" showAll="0"/>
    <pivotField compact="0" numFmtId="44" outline="0" showAll="0"/>
    <pivotField compact="0" numFmtId="44" outline="0" showAll="0"/>
    <pivotField compact="0" numFmtId="44" outline="0" showAll="0"/>
    <pivotField compact="0" numFmtId="44" outline="0" showAll="0"/>
    <pivotField compact="0" numFmtId="44" outline="0" showAll="0"/>
    <pivotField dataField="1" compact="0" numFmtId="44" outline="0" showAll="0"/>
    <pivotField compact="0" outline="0" showAll="0"/>
  </pivotFields>
  <rowFields count="1">
    <field x="3"/>
  </rowFields>
  <rowItems count="1">
    <i t="grand">
      <x/>
    </i>
  </rowItems>
  <colItems count="1">
    <i/>
  </colItems>
  <pageFields count="1">
    <pageField fld="4" hier="-1"/>
  </pageFields>
  <dataFields count="1">
    <dataField name="Suma de VENTA TOTAL" fld="20" baseField="0" baseItem="0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FECHA" sourceName="FECHA">
  <pivotTables>
    <pivotTable tabId="16" name="Tabla dinámica1"/>
  </pivotTables>
  <data>
    <tabular pivotCacheId="1">
      <items count="35">
        <i x="7"/>
        <i x="6"/>
        <i x="5"/>
        <i x="4"/>
        <i x="3"/>
        <i x="2"/>
        <i x="1"/>
        <i x="0"/>
        <i x="25" nd="1"/>
        <i x="34" nd="1"/>
        <i x="16" s="1" nd="1"/>
        <i x="15" nd="1"/>
        <i x="24" nd="1"/>
        <i x="14" nd="1"/>
        <i x="33" nd="1"/>
        <i x="23" nd="1"/>
        <i x="13" nd="1"/>
        <i x="32" nd="1"/>
        <i x="31" nd="1"/>
        <i x="12" nd="1"/>
        <i x="22" nd="1"/>
        <i x="30" nd="1"/>
        <i x="21" nd="1"/>
        <i x="29" nd="1"/>
        <i x="20" nd="1"/>
        <i x="19" nd="1"/>
        <i x="11" nd="1"/>
        <i x="28" nd="1"/>
        <i x="18" nd="1"/>
        <i x="10" nd="1"/>
        <i x="27" nd="1"/>
        <i x="9" nd="1"/>
        <i x="26" nd="1"/>
        <i x="8" nd="1"/>
        <i x="17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FECHA" cache="SegmentaciónDeDatos_FECHA" caption="FECHA" rowHeight="241300"/>
</slicers>
</file>

<file path=xl/tables/table1.xml><?xml version="1.0" encoding="utf-8"?>
<table xmlns="http://schemas.openxmlformats.org/spreadsheetml/2006/main" id="1" name="Tabla1" displayName="Tabla1" ref="A3:Q870" totalsRowCount="1">
  <autoFilter ref="A3:Q869"/>
  <sortState ref="A4:Q806">
    <sortCondition ref="B3:B579"/>
  </sortState>
  <tableColumns count="17">
    <tableColumn id="1" name="MES" totalsRowLabel="Total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totalsRowFunction="sum" totalsRowDxfId="62" dataCellStyle="Moneda"/>
    <tableColumn id="9" name="I. EXENTAS" totalsRowDxfId="61" dataCellStyle="Moneda"/>
    <tableColumn id="10" name="IMPOR EX" totalsRowDxfId="60" dataCellStyle="Moneda"/>
    <tableColumn id="11" name="C. GRAVADA" totalsRowFunction="sum" totalsRowDxfId="59" dataCellStyle="Moneda"/>
    <tableColumn id="12" name="INTER GRAVA" totalsRowDxfId="58" dataCellStyle="Moneda"/>
    <tableColumn id="13" name="IMPOR BIENES" totalsRowDxfId="57" dataCellStyle="Moneda"/>
    <tableColumn id="14" name="IMPOR SERV" totalsRowDxfId="56" dataCellStyle="Moneda"/>
    <tableColumn id="15" name="IVA" totalsRowFunction="sum" totalsRowDxfId="55" dataCellStyle="Moneda"/>
    <tableColumn id="16" name="TOTAL C." totalsRowFunction="sum" totalsRowDxfId="54" dataCellStyle="Moneda"/>
    <tableColumn id="17" name="ANEXO 3" totalsRowFunction="sum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W200" totalsRowCount="1">
  <sortState ref="A3:V29">
    <sortCondition descending="1" ref="K2:K199"/>
  </sortState>
  <tableColumns count="23">
    <tableColumn id="24" name="Columna1" dataDxfId="53" totalsRowDxfId="52">
      <calculatedColumnFormula>+Tabla2[[#This Row],[NOMBRE DE CLIENTE]]&amp;Tabla2[[#This Row],[ESPACIO]]&amp;Tabla2[[#This Row],[CCF]]&amp;Tabla2[[#This Row],[ESPACIO]]&amp;Tabla2[[#This Row],[N° DOC]]</calculatedColumnFormula>
    </tableColumn>
    <tableColumn id="25" name="ESPACIO" dataDxfId="51" totalsRowDxfId="50"/>
    <tableColumn id="23" name="CCF" dataDxfId="49" totalsRowDxfId="48"/>
    <tableColumn id="20" name="CUENTA" dataDxfId="47" totalsRowDxfId="46">
      <calculatedColumnFormula>+VLOOKUP(Tabla2[[#This Row],[NOMBRE DE CLIENTE]],[3]CATALOGO!$A:$B,2,0)</calculatedColumnFormula>
    </tableColumn>
    <tableColumn id="1" name="MES" totalsRowLabel="Total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/>
    <tableColumn id="10" name="NOMBRE DE CLIENTE"/>
    <tableColumn id="11" name="VENTA EXENTA" totalsRowDxfId="45" dataCellStyle="Moneda"/>
    <tableColumn id="12" name="VENTA NO SUJETA" totalsRowDxfId="44" dataCellStyle="Moneda"/>
    <tableColumn id="13" name="V. GRAVADA" totalsRowFunction="sum" totalsRowDxfId="43" dataCellStyle="Moneda"/>
    <tableColumn id="14" name="D.FISCAL" totalsRowFunction="sum" totalsRowDxfId="42" dataCellStyle="Moneda"/>
    <tableColumn id="15" name="V CTA DE 3" totalsRowDxfId="41" dataCellStyle="Moneda"/>
    <tableColumn id="16" name="D. FISCAL A 3" totalsRowDxfId="40" dataCellStyle="Moneda"/>
    <tableColumn id="17" name="VENTA TOTAL" totalsRowFunction="sum" totalsRowDxfId="39" dataCellStyle="Moneda"/>
    <tableColumn id="18" name="ANEXO"/>
    <tableColumn id="26" name="Columna5" dataDxfId="38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X66" totalsRowCount="1">
  <sortState ref="A39:V43">
    <sortCondition ref="G2:G43"/>
  </sortState>
  <tableColumns count="24">
    <tableColumn id="1" name="MES" totalsRowLabel="Total"/>
    <tableColumn id="2" name="FECHA"/>
    <tableColumn id="3" name="CLASE DE DOC"/>
    <tableColumn id="4" name="TIPO DE DOC"/>
    <tableColumn id="5" name="RESOLUCION"/>
    <tableColumn id="6" name="SERIE"/>
    <tableColumn id="7" name="CORRELTIVO" dataDxfId="37" totalsRowDxfId="36"/>
    <tableColumn id="8" name="FINAL" dataDxfId="35" totalsRowDxfId="34"/>
    <tableColumn id="9" name="CORRELTIVO2" dataDxfId="33" totalsRowDxfId="32"/>
    <tableColumn id="10" name="FINAL3" dataDxfId="31" totalsRowDxfId="30"/>
    <tableColumn id="11" name="VACIO" dataDxfId="29" totalsRowDxfId="28"/>
    <tableColumn id="12" name="V EXENTA" totalsRowFunction="sum" totalsRowDxfId="27" dataCellStyle="Moneda"/>
    <tableColumn id="13" name="VENTAS NO" totalsRowDxfId="26" dataCellStyle="Moneda"/>
    <tableColumn id="14" name="V NO SUJETAS" totalsRowDxfId="25" dataCellStyle="Moneda"/>
    <tableColumn id="15" name="V GRAVADAS" totalsRowFunction="sum" totalsRowDxfId="24" dataCellStyle="Moneda"/>
    <tableColumn id="23" name="Columna1" totalsRowFunction="sum" dataDxfId="23" totalsRowDxfId="22" dataCellStyle="Moneda">
      <calculatedColumnFormula>+Tabla3[[#This Row],[V GRAVADAS]]/1.13</calculatedColumnFormula>
    </tableColumn>
    <tableColumn id="24" name="Columna2" totalsRowFunction="sum" dataDxfId="21" totalsRowDxfId="20" dataCellStyle="Moneda">
      <calculatedColumnFormula>+Tabla3[[#This Row],[Columna1]]*0.13</calculatedColumnFormula>
    </tableColumn>
    <tableColumn id="16" name="EX IN CA" totalsRowFunction="sum" totalsRowDxfId="19" dataCellStyle="Moneda"/>
    <tableColumn id="17" name="EX OUT CA" totalsRowDxfId="18" dataCellStyle="Moneda"/>
    <tableColumn id="18" name="EX SERVICE" totalsRowFunction="sum" totalsRowDxfId="17" dataCellStyle="Moneda"/>
    <tableColumn id="19" name="V ZONA FRAN" totalsRowDxfId="16" dataCellStyle="Moneda"/>
    <tableColumn id="20" name="V CTA A 3ERO" totalsRowDxfId="15" dataCellStyle="Moneda"/>
    <tableColumn id="21" name="TOTAL VENTA" totalsRowFunction="sum" totalsRowDxfId="14" dataCellStyle="Moneda"/>
    <tableColumn id="22" name="ANEXO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1:I89" totalsRowCount="1" headerRowDxfId="12">
  <autoFilter ref="A1:I88">
    <filterColumn colId="0">
      <filters>
        <filter val="ENERO"/>
      </filters>
    </filterColumn>
  </autoFilter>
  <tableColumns count="9">
    <tableColumn id="1" name="MES" totalsRowLabel="Total"/>
    <tableColumn id="2" name="NIT" dataDxfId="11"/>
    <tableColumn id="3" name="FECHA" dataDxfId="10"/>
    <tableColumn id="4" name="TIPO" dataDxfId="9"/>
    <tableColumn id="5" name="SERIE" dataDxfId="8"/>
    <tableColumn id="6" name="DOC" dataDxfId="7"/>
    <tableColumn id="7" name="MONTO" totalsRowFunction="sum" dataDxfId="6" totalsRowDxfId="5"/>
    <tableColumn id="8" name="RETENCION" totalsRowFunction="sum" dataDxfId="4" totalsRowDxfId="3"/>
    <tableColumn id="9" name="ANEXO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J19"/>
  <sheetViews>
    <sheetView showGridLines="0" zoomScale="85" zoomScaleNormal="85" zoomScaleSheetLayoutView="85" workbookViewId="0">
      <selection activeCell="D4" sqref="D4"/>
    </sheetView>
  </sheetViews>
  <sheetFormatPr baseColWidth="10" defaultRowHeight="15" x14ac:dyDescent="0.25"/>
  <cols>
    <col min="2" max="2" width="13.7109375" bestFit="1" customWidth="1"/>
    <col min="3" max="3" width="3.85546875" customWidth="1"/>
    <col min="4" max="4" width="27.140625" customWidth="1"/>
    <col min="5" max="5" width="7.85546875" customWidth="1"/>
  </cols>
  <sheetData>
    <row r="1" spans="2:10" ht="49.5" customHeight="1" x14ac:dyDescent="0.25"/>
    <row r="2" spans="2:10" ht="15.75" thickBot="1" x14ac:dyDescent="0.3"/>
    <row r="3" spans="2:10" x14ac:dyDescent="0.25">
      <c r="B3" s="7" t="s">
        <v>17</v>
      </c>
      <c r="D3" s="13" t="s">
        <v>839</v>
      </c>
    </row>
    <row r="4" spans="2:10" x14ac:dyDescent="0.25">
      <c r="B4" s="7" t="s">
        <v>2</v>
      </c>
      <c r="D4" s="76" t="str">
        <f>+J4</f>
        <v>31/01/2022</v>
      </c>
      <c r="E4" s="68" t="s">
        <v>837</v>
      </c>
      <c r="F4" s="67" t="str">
        <f>+LEFT(E4,2)</f>
        <v>31</v>
      </c>
      <c r="G4" s="67" t="str">
        <f>+RIGHT(E4,2)</f>
        <v>01</v>
      </c>
      <c r="H4" s="69" t="s">
        <v>786</v>
      </c>
      <c r="I4" s="67" t="s">
        <v>530</v>
      </c>
      <c r="J4" s="67" t="str">
        <f>+F4&amp;I4&amp;G4&amp;I4&amp;H4</f>
        <v>31/01/2022</v>
      </c>
    </row>
    <row r="5" spans="2:10" x14ac:dyDescent="0.25">
      <c r="B5" s="7" t="s">
        <v>3</v>
      </c>
      <c r="D5" s="9" t="s">
        <v>1</v>
      </c>
    </row>
    <row r="6" spans="2:10" x14ac:dyDescent="0.25">
      <c r="B6" s="7" t="s">
        <v>4</v>
      </c>
      <c r="D6" s="9" t="s">
        <v>0</v>
      </c>
    </row>
    <row r="7" spans="2:10" x14ac:dyDescent="0.25">
      <c r="B7" s="7" t="s">
        <v>5</v>
      </c>
      <c r="D7" s="65"/>
    </row>
    <row r="8" spans="2:10" x14ac:dyDescent="0.25">
      <c r="B8" s="7" t="s">
        <v>6</v>
      </c>
      <c r="D8" s="14" t="s">
        <v>435</v>
      </c>
    </row>
    <row r="9" spans="2:10" x14ac:dyDescent="0.25">
      <c r="B9" s="7" t="s">
        <v>86</v>
      </c>
      <c r="D9" s="29" t="str">
        <f>IFERROR(VLOOKUP(D8,'[1]BASE DE PROVEEDORES'!$A:$B,2,0),"No Existe")</f>
        <v>PULSEM DE C.V.</v>
      </c>
    </row>
    <row r="10" spans="2:10" x14ac:dyDescent="0.25">
      <c r="B10" s="7" t="s">
        <v>7</v>
      </c>
      <c r="D10" s="10">
        <v>0</v>
      </c>
    </row>
    <row r="11" spans="2:10" x14ac:dyDescent="0.25">
      <c r="B11" s="7" t="s">
        <v>8</v>
      </c>
      <c r="D11" s="10">
        <v>0</v>
      </c>
    </row>
    <row r="12" spans="2:10" x14ac:dyDescent="0.25">
      <c r="B12" s="7" t="s">
        <v>9</v>
      </c>
      <c r="D12" s="10">
        <v>0</v>
      </c>
    </row>
    <row r="13" spans="2:10" x14ac:dyDescent="0.25">
      <c r="B13" s="7" t="s">
        <v>10</v>
      </c>
      <c r="D13" s="15"/>
    </row>
    <row r="14" spans="2:10" x14ac:dyDescent="0.25">
      <c r="B14" s="7" t="s">
        <v>11</v>
      </c>
      <c r="D14" s="10">
        <v>0</v>
      </c>
    </row>
    <row r="15" spans="2:10" x14ac:dyDescent="0.25">
      <c r="B15" s="7" t="s">
        <v>13</v>
      </c>
      <c r="D15" s="10">
        <v>0</v>
      </c>
    </row>
    <row r="16" spans="2:10" x14ac:dyDescent="0.25">
      <c r="B16" s="7" t="s">
        <v>12</v>
      </c>
      <c r="D16" s="10">
        <v>0</v>
      </c>
    </row>
    <row r="17" spans="2:4" x14ac:dyDescent="0.25">
      <c r="B17" s="7" t="s">
        <v>14</v>
      </c>
      <c r="D17" s="10">
        <f>+(D16+D15+D14+D13)*0.13</f>
        <v>0</v>
      </c>
    </row>
    <row r="18" spans="2:4" x14ac:dyDescent="0.25">
      <c r="B18" s="7" t="s">
        <v>15</v>
      </c>
      <c r="D18" s="10">
        <f>+SUBTOTAL(9,D10,D11,D12,D13,D14,D15,D16,D17)</f>
        <v>0</v>
      </c>
    </row>
    <row r="19" spans="2:4" ht="15.75" thickBot="1" x14ac:dyDescent="0.3">
      <c r="B19" s="7" t="s">
        <v>16</v>
      </c>
      <c r="D19" s="12">
        <v>3</v>
      </c>
    </row>
  </sheetData>
  <dataValidations count="4">
    <dataValidation type="decimal" allowBlank="1" showInputMessage="1" showErrorMessage="1" errorTitle="Error de ingreso" error="Los datos ingresados no son validos solo se aceptan numeros" sqref="D10:D16">
      <formula1>0</formula1>
      <formula2>10000000</formula2>
    </dataValidation>
    <dataValidation type="list" allowBlank="1" showInputMessage="1" showErrorMessage="1" sqref="D6">
      <formula1>"03,05,11"</formula1>
    </dataValidation>
    <dataValidation type="textLength" allowBlank="1" showInputMessage="1" showErrorMessage="1" sqref="D8">
      <formula1>14</formula1>
      <formula2>14</formula2>
    </dataValidation>
    <dataValidation type="custom" allowBlank="1" showInputMessage="1" showErrorMessage="1" error="NO EXISTE" sqref="D9">
      <formula1>"No Existe"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2]!GuardarDatos">
                <anchor moveWithCells="1" sizeWithCells="1">
                  <from>
                    <xdr:col>3</xdr:col>
                    <xdr:colOff>438150</xdr:colOff>
                    <xdr:row>20</xdr:row>
                    <xdr:rowOff>85725</xdr:rowOff>
                  </from>
                  <to>
                    <xdr:col>3</xdr:col>
                    <xdr:colOff>1447800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5" name="Button 11">
              <controlPr defaultSize="0" print="0" autoFill="0" autoPict="0" macro="[2]!LimpiarDatos">
                <anchor moveWithCells="1" sizeWithCells="1">
                  <from>
                    <xdr:col>1</xdr:col>
                    <xdr:colOff>342900</xdr:colOff>
                    <xdr:row>20</xdr:row>
                    <xdr:rowOff>114300</xdr:rowOff>
                  </from>
                  <to>
                    <xdr:col>3</xdr:col>
                    <xdr:colOff>123825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5"/>
  </sheetPr>
  <dimension ref="A1:Q870"/>
  <sheetViews>
    <sheetView workbookViewId="0">
      <pane ySplit="3" topLeftCell="A134" activePane="bottomLeft" state="frozen"/>
      <selection pane="bottomLeft" activeCell="E170" sqref="E170"/>
    </sheetView>
  </sheetViews>
  <sheetFormatPr baseColWidth="10" defaultRowHeight="15" x14ac:dyDescent="0.25"/>
  <cols>
    <col min="3" max="3" width="15.42578125" customWidth="1"/>
    <col min="4" max="4" width="12.140625" bestFit="1" customWidth="1"/>
    <col min="5" max="5" width="15.42578125" customWidth="1"/>
    <col min="6" max="6" width="11.5703125" customWidth="1"/>
    <col min="7" max="7" width="35.28515625" customWidth="1"/>
    <col min="8" max="8" width="13.140625" style="3" customWidth="1"/>
    <col min="9" max="9" width="12.5703125" style="3" customWidth="1"/>
    <col min="10" max="10" width="11.85546875" style="3" customWidth="1"/>
    <col min="11" max="11" width="14.28515625" style="3" customWidth="1"/>
    <col min="12" max="12" width="15.140625" style="3" customWidth="1"/>
    <col min="13" max="13" width="15.85546875" style="3" customWidth="1"/>
    <col min="14" max="14" width="14.140625" style="3" customWidth="1"/>
    <col min="15" max="15" width="11.5703125" style="3" bestFit="1" customWidth="1"/>
    <col min="16" max="16" width="12.5703125" style="3" bestFit="1" customWidth="1"/>
  </cols>
  <sheetData>
    <row r="1" spans="1:17" x14ac:dyDescent="0.25">
      <c r="F1" s="75" t="s">
        <v>699</v>
      </c>
      <c r="G1" s="73"/>
      <c r="H1" s="74"/>
      <c r="I1" s="74"/>
    </row>
    <row r="2" spans="1:17" x14ac:dyDescent="0.25">
      <c r="F2" s="73"/>
      <c r="G2" s="73"/>
      <c r="H2" s="74"/>
      <c r="I2" s="74"/>
    </row>
    <row r="3" spans="1:17" x14ac:dyDescent="0.25">
      <c r="A3" t="s">
        <v>17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86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12</v>
      </c>
      <c r="O3" s="3" t="s">
        <v>14</v>
      </c>
      <c r="P3" s="3" t="s">
        <v>15</v>
      </c>
      <c r="Q3" t="s">
        <v>16</v>
      </c>
    </row>
    <row r="4" spans="1:17" x14ac:dyDescent="0.25">
      <c r="A4" t="s">
        <v>788</v>
      </c>
      <c r="B4" t="s">
        <v>799</v>
      </c>
      <c r="C4" t="s">
        <v>1</v>
      </c>
      <c r="D4" t="s">
        <v>0</v>
      </c>
      <c r="E4">
        <v>35</v>
      </c>
      <c r="F4" t="s">
        <v>435</v>
      </c>
      <c r="G4" t="s">
        <v>436</v>
      </c>
      <c r="H4" s="3">
        <v>0</v>
      </c>
      <c r="I4" s="3">
        <v>0</v>
      </c>
      <c r="J4" s="3">
        <v>0</v>
      </c>
      <c r="K4" s="3">
        <v>1151.2</v>
      </c>
      <c r="L4" s="3">
        <v>0</v>
      </c>
      <c r="M4" s="3">
        <v>0</v>
      </c>
      <c r="N4" s="3">
        <v>0</v>
      </c>
      <c r="O4" s="3">
        <v>149.65600000000001</v>
      </c>
      <c r="P4" s="3">
        <v>1300.856</v>
      </c>
      <c r="Q4">
        <v>3</v>
      </c>
    </row>
    <row r="5" spans="1:17" x14ac:dyDescent="0.25">
      <c r="A5" t="s">
        <v>788</v>
      </c>
      <c r="B5" t="s">
        <v>747</v>
      </c>
      <c r="C5" t="s">
        <v>1</v>
      </c>
      <c r="D5" t="s">
        <v>0</v>
      </c>
      <c r="E5">
        <v>219</v>
      </c>
      <c r="F5" t="s">
        <v>379</v>
      </c>
      <c r="G5" t="s">
        <v>660</v>
      </c>
      <c r="H5" s="3">
        <v>0</v>
      </c>
      <c r="I5" s="3">
        <v>0</v>
      </c>
      <c r="J5" s="3">
        <v>0</v>
      </c>
      <c r="K5" s="3">
        <v>780</v>
      </c>
      <c r="L5" s="3">
        <v>0</v>
      </c>
      <c r="M5" s="3">
        <v>0</v>
      </c>
      <c r="N5" s="3">
        <v>0</v>
      </c>
      <c r="O5" s="3">
        <v>101.4</v>
      </c>
      <c r="P5" s="3">
        <v>881.4</v>
      </c>
      <c r="Q5">
        <v>3</v>
      </c>
    </row>
    <row r="6" spans="1:17" x14ac:dyDescent="0.25">
      <c r="A6" t="s">
        <v>788</v>
      </c>
      <c r="B6" t="s">
        <v>805</v>
      </c>
      <c r="C6" t="s">
        <v>1</v>
      </c>
      <c r="D6" t="s">
        <v>0</v>
      </c>
      <c r="E6">
        <v>14388</v>
      </c>
      <c r="F6" t="s">
        <v>451</v>
      </c>
      <c r="G6" t="s">
        <v>452</v>
      </c>
      <c r="H6" s="3">
        <v>7.26</v>
      </c>
      <c r="I6" s="3">
        <v>0</v>
      </c>
      <c r="J6" s="3">
        <v>0</v>
      </c>
      <c r="K6" s="3">
        <v>67.03</v>
      </c>
      <c r="L6" s="3">
        <v>0</v>
      </c>
      <c r="M6" s="3">
        <v>0</v>
      </c>
      <c r="N6" s="3">
        <v>0</v>
      </c>
      <c r="O6" s="3">
        <v>8.7139000000000006</v>
      </c>
      <c r="P6" s="3">
        <v>83.003900000000002</v>
      </c>
      <c r="Q6">
        <v>3</v>
      </c>
    </row>
    <row r="7" spans="1:17" x14ac:dyDescent="0.25">
      <c r="A7" t="s">
        <v>788</v>
      </c>
      <c r="B7" t="s">
        <v>808</v>
      </c>
      <c r="C7" t="s">
        <v>1</v>
      </c>
      <c r="D7" t="s">
        <v>0</v>
      </c>
      <c r="E7">
        <v>24805</v>
      </c>
      <c r="F7" t="s">
        <v>455</v>
      </c>
      <c r="G7" t="s">
        <v>456</v>
      </c>
      <c r="H7" s="3">
        <v>14.33</v>
      </c>
      <c r="I7" s="3">
        <v>0</v>
      </c>
      <c r="J7" s="3">
        <v>0</v>
      </c>
      <c r="K7" s="3">
        <v>128.91</v>
      </c>
      <c r="L7" s="3">
        <v>0</v>
      </c>
      <c r="M7" s="3">
        <v>0</v>
      </c>
      <c r="N7" s="3">
        <v>0</v>
      </c>
      <c r="O7" s="3">
        <v>16.758299999999998</v>
      </c>
      <c r="P7" s="3">
        <v>159.9983</v>
      </c>
      <c r="Q7">
        <v>3</v>
      </c>
    </row>
    <row r="8" spans="1:17" x14ac:dyDescent="0.25">
      <c r="A8" t="s">
        <v>788</v>
      </c>
      <c r="B8" t="s">
        <v>803</v>
      </c>
      <c r="C8" t="s">
        <v>1</v>
      </c>
      <c r="D8" t="s">
        <v>0</v>
      </c>
      <c r="E8">
        <v>258021</v>
      </c>
      <c r="F8" t="s">
        <v>459</v>
      </c>
      <c r="G8" t="s">
        <v>460</v>
      </c>
      <c r="H8" s="3">
        <v>8.4</v>
      </c>
      <c r="I8" s="3">
        <v>0</v>
      </c>
      <c r="J8" s="3">
        <v>0</v>
      </c>
      <c r="K8" s="3">
        <v>81.06</v>
      </c>
      <c r="L8" s="3">
        <v>0</v>
      </c>
      <c r="M8" s="3">
        <v>0</v>
      </c>
      <c r="N8" s="3">
        <v>0</v>
      </c>
      <c r="O8" s="3">
        <v>10.537800000000001</v>
      </c>
      <c r="P8" s="3">
        <v>99.997800000000012</v>
      </c>
      <c r="Q8">
        <v>3</v>
      </c>
    </row>
    <row r="9" spans="1:17" x14ac:dyDescent="0.25">
      <c r="A9" t="s">
        <v>788</v>
      </c>
      <c r="B9" t="s">
        <v>795</v>
      </c>
      <c r="C9" t="s">
        <v>1</v>
      </c>
      <c r="D9" t="s">
        <v>0</v>
      </c>
      <c r="E9">
        <v>23082</v>
      </c>
      <c r="F9" t="s">
        <v>455</v>
      </c>
      <c r="G9" t="s">
        <v>456</v>
      </c>
      <c r="H9" s="3">
        <v>0</v>
      </c>
      <c r="I9" s="3">
        <v>0</v>
      </c>
      <c r="J9" s="3">
        <v>0</v>
      </c>
      <c r="K9" s="3">
        <v>67.48</v>
      </c>
      <c r="L9" s="3">
        <v>0</v>
      </c>
      <c r="M9" s="3">
        <v>0</v>
      </c>
      <c r="N9" s="3">
        <v>0</v>
      </c>
      <c r="O9" s="3">
        <v>8.7724000000000011</v>
      </c>
      <c r="P9" s="3">
        <v>76.252400000000009</v>
      </c>
      <c r="Q9">
        <v>3</v>
      </c>
    </row>
    <row r="10" spans="1:17" x14ac:dyDescent="0.25">
      <c r="A10" t="s">
        <v>788</v>
      </c>
      <c r="B10" t="s">
        <v>803</v>
      </c>
      <c r="C10" t="s">
        <v>1</v>
      </c>
      <c r="D10" t="s">
        <v>0</v>
      </c>
      <c r="E10">
        <v>128</v>
      </c>
      <c r="F10" t="s">
        <v>667</v>
      </c>
      <c r="G10" t="s">
        <v>668</v>
      </c>
      <c r="H10" s="3">
        <v>15.26</v>
      </c>
      <c r="I10" s="3">
        <v>0</v>
      </c>
      <c r="J10" s="3">
        <v>0</v>
      </c>
      <c r="K10" s="3">
        <v>145.78</v>
      </c>
      <c r="L10" s="3">
        <v>0</v>
      </c>
      <c r="M10" s="3">
        <v>0</v>
      </c>
      <c r="N10" s="3">
        <v>0</v>
      </c>
      <c r="O10" s="3">
        <v>18.9514</v>
      </c>
      <c r="P10" s="3">
        <v>179.9914</v>
      </c>
      <c r="Q10">
        <v>3</v>
      </c>
    </row>
    <row r="11" spans="1:17" x14ac:dyDescent="0.25">
      <c r="A11" t="s">
        <v>788</v>
      </c>
      <c r="B11" t="s">
        <v>822</v>
      </c>
      <c r="C11" t="s">
        <v>1</v>
      </c>
      <c r="D11" t="s">
        <v>0</v>
      </c>
      <c r="E11">
        <v>25811</v>
      </c>
      <c r="F11" t="s">
        <v>440</v>
      </c>
      <c r="G11" t="s">
        <v>441</v>
      </c>
      <c r="H11" s="3">
        <v>12.93</v>
      </c>
      <c r="I11" s="3">
        <v>0</v>
      </c>
      <c r="J11" s="3">
        <v>0</v>
      </c>
      <c r="K11" s="3">
        <v>112.45</v>
      </c>
      <c r="L11" s="3">
        <v>0</v>
      </c>
      <c r="M11" s="3">
        <v>0</v>
      </c>
      <c r="N11" s="3">
        <v>0</v>
      </c>
      <c r="O11" s="3">
        <v>14.618500000000001</v>
      </c>
      <c r="P11" s="3">
        <v>139.99850000000001</v>
      </c>
      <c r="Q11">
        <v>3</v>
      </c>
    </row>
    <row r="12" spans="1:17" x14ac:dyDescent="0.25">
      <c r="A12" t="s">
        <v>788</v>
      </c>
      <c r="B12" t="s">
        <v>806</v>
      </c>
      <c r="C12" t="s">
        <v>1</v>
      </c>
      <c r="D12" t="s">
        <v>0</v>
      </c>
      <c r="E12">
        <v>567389</v>
      </c>
      <c r="F12" t="s">
        <v>440</v>
      </c>
      <c r="G12" t="s">
        <v>441</v>
      </c>
      <c r="H12" s="3">
        <v>3.21</v>
      </c>
      <c r="I12" s="3">
        <v>0</v>
      </c>
      <c r="J12" s="3">
        <v>0</v>
      </c>
      <c r="K12" s="3">
        <v>29.03</v>
      </c>
      <c r="L12" s="3">
        <v>0</v>
      </c>
      <c r="M12" s="3">
        <v>0</v>
      </c>
      <c r="N12" s="3">
        <v>0</v>
      </c>
      <c r="O12" s="3">
        <v>3.7739000000000003</v>
      </c>
      <c r="P12" s="3">
        <v>36.0139</v>
      </c>
      <c r="Q12">
        <v>3</v>
      </c>
    </row>
    <row r="13" spans="1:17" x14ac:dyDescent="0.25">
      <c r="A13" t="s">
        <v>788</v>
      </c>
      <c r="B13" t="s">
        <v>791</v>
      </c>
      <c r="C13" t="s">
        <v>1</v>
      </c>
      <c r="D13" t="s">
        <v>0</v>
      </c>
      <c r="E13">
        <v>566367</v>
      </c>
      <c r="F13" t="s">
        <v>440</v>
      </c>
      <c r="G13" t="s">
        <v>441</v>
      </c>
      <c r="H13" s="3">
        <v>8.41</v>
      </c>
      <c r="I13" s="3">
        <v>0</v>
      </c>
      <c r="J13" s="3">
        <v>0</v>
      </c>
      <c r="K13" s="3">
        <v>72.2</v>
      </c>
      <c r="L13" s="3">
        <v>0</v>
      </c>
      <c r="M13" s="3">
        <v>0</v>
      </c>
      <c r="N13" s="3">
        <v>0</v>
      </c>
      <c r="O13" s="3">
        <v>9.386000000000001</v>
      </c>
      <c r="P13" s="3">
        <v>89.995999999999995</v>
      </c>
      <c r="Q13">
        <v>3</v>
      </c>
    </row>
    <row r="14" spans="1:17" x14ac:dyDescent="0.25">
      <c r="A14" t="s">
        <v>788</v>
      </c>
      <c r="B14" t="s">
        <v>815</v>
      </c>
      <c r="C14" t="s">
        <v>1</v>
      </c>
      <c r="D14" t="s">
        <v>0</v>
      </c>
      <c r="E14">
        <v>225103</v>
      </c>
      <c r="F14" t="s">
        <v>440</v>
      </c>
      <c r="G14" t="s">
        <v>441</v>
      </c>
      <c r="H14" s="3">
        <v>3.4</v>
      </c>
      <c r="I14" s="3">
        <v>0</v>
      </c>
      <c r="J14" s="3">
        <v>0</v>
      </c>
      <c r="K14" s="3">
        <v>29.21</v>
      </c>
      <c r="L14" s="3">
        <v>0</v>
      </c>
      <c r="M14" s="3">
        <v>0</v>
      </c>
      <c r="N14" s="3">
        <v>0</v>
      </c>
      <c r="O14" s="3">
        <v>3.7973000000000003</v>
      </c>
      <c r="P14" s="3">
        <v>36.407299999999999</v>
      </c>
      <c r="Q14">
        <v>3</v>
      </c>
    </row>
    <row r="15" spans="1:17" x14ac:dyDescent="0.25">
      <c r="A15" t="s">
        <v>788</v>
      </c>
      <c r="B15" t="s">
        <v>791</v>
      </c>
      <c r="C15" t="s">
        <v>1</v>
      </c>
      <c r="D15" t="s">
        <v>0</v>
      </c>
      <c r="E15">
        <v>92102</v>
      </c>
      <c r="F15" t="s">
        <v>477</v>
      </c>
      <c r="G15" t="s">
        <v>478</v>
      </c>
      <c r="H15" s="3">
        <v>0</v>
      </c>
      <c r="I15" s="3">
        <v>0</v>
      </c>
      <c r="J15" s="3">
        <v>0</v>
      </c>
      <c r="K15" s="3">
        <v>158.63999999999999</v>
      </c>
      <c r="L15" s="3">
        <v>0</v>
      </c>
      <c r="M15" s="3">
        <v>0</v>
      </c>
      <c r="N15" s="3">
        <v>0</v>
      </c>
      <c r="O15" s="3">
        <v>20.623200000000001</v>
      </c>
      <c r="P15" s="3">
        <v>179.26319999999998</v>
      </c>
      <c r="Q15">
        <v>3</v>
      </c>
    </row>
    <row r="16" spans="1:17" x14ac:dyDescent="0.25">
      <c r="A16" t="s">
        <v>788</v>
      </c>
      <c r="B16" t="s">
        <v>769</v>
      </c>
      <c r="C16" t="s">
        <v>1</v>
      </c>
      <c r="D16" t="s">
        <v>0</v>
      </c>
      <c r="E16">
        <v>9</v>
      </c>
      <c r="F16" t="s">
        <v>435</v>
      </c>
      <c r="G16" t="s">
        <v>436</v>
      </c>
      <c r="H16" s="3">
        <v>0</v>
      </c>
      <c r="I16" s="3">
        <v>0</v>
      </c>
      <c r="J16" s="3">
        <v>0</v>
      </c>
      <c r="K16" s="3">
        <v>1299.2</v>
      </c>
      <c r="L16" s="3">
        <v>0</v>
      </c>
      <c r="M16" s="3">
        <v>0</v>
      </c>
      <c r="N16" s="3">
        <v>0</v>
      </c>
      <c r="O16" s="3">
        <v>168.89600000000002</v>
      </c>
      <c r="P16" s="3">
        <v>1468.096</v>
      </c>
      <c r="Q16">
        <v>3</v>
      </c>
    </row>
    <row r="17" spans="1:17" x14ac:dyDescent="0.25">
      <c r="A17" t="s">
        <v>788</v>
      </c>
      <c r="B17" t="s">
        <v>814</v>
      </c>
      <c r="C17" t="s">
        <v>1</v>
      </c>
      <c r="D17" t="s">
        <v>0</v>
      </c>
      <c r="E17">
        <v>123213</v>
      </c>
      <c r="F17" t="s">
        <v>491</v>
      </c>
      <c r="G17" t="s">
        <v>492</v>
      </c>
      <c r="H17" s="3">
        <v>0</v>
      </c>
      <c r="I17" s="3">
        <v>0</v>
      </c>
      <c r="J17" s="3">
        <v>0</v>
      </c>
      <c r="K17" s="3">
        <v>395.21</v>
      </c>
      <c r="L17" s="3">
        <v>0</v>
      </c>
      <c r="M17" s="3">
        <v>0</v>
      </c>
      <c r="N17" s="3">
        <v>0</v>
      </c>
      <c r="O17" s="3">
        <v>51.377299999999998</v>
      </c>
      <c r="P17" s="3">
        <v>446.58729999999997</v>
      </c>
      <c r="Q17">
        <v>3</v>
      </c>
    </row>
    <row r="18" spans="1:17" x14ac:dyDescent="0.25">
      <c r="A18" t="s">
        <v>788</v>
      </c>
      <c r="B18" t="s">
        <v>802</v>
      </c>
      <c r="C18" t="s">
        <v>1</v>
      </c>
      <c r="D18" t="s">
        <v>0</v>
      </c>
      <c r="E18">
        <v>123923</v>
      </c>
      <c r="F18" t="s">
        <v>491</v>
      </c>
      <c r="G18" t="s">
        <v>492</v>
      </c>
      <c r="H18" s="3">
        <v>0</v>
      </c>
      <c r="I18" s="3">
        <v>0</v>
      </c>
      <c r="J18" s="3">
        <v>0</v>
      </c>
      <c r="K18" s="3">
        <v>179.8</v>
      </c>
      <c r="L18" s="3">
        <v>0</v>
      </c>
      <c r="M18" s="3">
        <v>0</v>
      </c>
      <c r="N18" s="3">
        <v>0</v>
      </c>
      <c r="O18" s="3">
        <v>23.374000000000002</v>
      </c>
      <c r="P18" s="3">
        <v>203.17400000000001</v>
      </c>
      <c r="Q18">
        <v>3</v>
      </c>
    </row>
    <row r="19" spans="1:17" x14ac:dyDescent="0.25">
      <c r="A19" t="s">
        <v>788</v>
      </c>
      <c r="B19" t="s">
        <v>808</v>
      </c>
      <c r="C19" t="s">
        <v>1</v>
      </c>
      <c r="D19" t="s">
        <v>0</v>
      </c>
      <c r="E19">
        <v>685</v>
      </c>
      <c r="F19" t="s">
        <v>824</v>
      </c>
      <c r="G19" t="s">
        <v>825</v>
      </c>
      <c r="H19" s="3">
        <v>0</v>
      </c>
      <c r="I19" s="3">
        <v>0</v>
      </c>
      <c r="J19" s="3">
        <v>0</v>
      </c>
      <c r="K19" s="3">
        <v>150</v>
      </c>
      <c r="L19" s="3">
        <v>0</v>
      </c>
      <c r="M19" s="3">
        <v>0</v>
      </c>
      <c r="N19" s="3">
        <v>0</v>
      </c>
      <c r="O19" s="3">
        <v>19.5</v>
      </c>
      <c r="P19" s="3">
        <v>169.5</v>
      </c>
      <c r="Q19">
        <v>3</v>
      </c>
    </row>
    <row r="20" spans="1:17" x14ac:dyDescent="0.25">
      <c r="A20" t="s">
        <v>788</v>
      </c>
      <c r="B20" t="s">
        <v>815</v>
      </c>
      <c r="C20" t="s">
        <v>1</v>
      </c>
      <c r="D20" t="s">
        <v>0</v>
      </c>
      <c r="E20">
        <v>2052</v>
      </c>
      <c r="F20" t="s">
        <v>475</v>
      </c>
      <c r="G20" t="s">
        <v>476</v>
      </c>
      <c r="H20" s="3">
        <v>0</v>
      </c>
      <c r="I20" s="3">
        <v>0</v>
      </c>
      <c r="J20" s="3">
        <v>0</v>
      </c>
      <c r="K20" s="3">
        <v>56.26</v>
      </c>
      <c r="L20" s="3">
        <v>0</v>
      </c>
      <c r="M20" s="3">
        <v>0</v>
      </c>
      <c r="N20" s="3">
        <v>0</v>
      </c>
      <c r="O20" s="3">
        <v>7.3137999999999996</v>
      </c>
      <c r="P20" s="3">
        <v>63.573799999999999</v>
      </c>
      <c r="Q20">
        <v>3</v>
      </c>
    </row>
    <row r="21" spans="1:17" x14ac:dyDescent="0.25">
      <c r="A21" t="s">
        <v>788</v>
      </c>
      <c r="B21" t="s">
        <v>796</v>
      </c>
      <c r="C21" t="s">
        <v>1</v>
      </c>
      <c r="D21" t="s">
        <v>0</v>
      </c>
      <c r="E21">
        <v>2014</v>
      </c>
      <c r="F21" t="s">
        <v>475</v>
      </c>
      <c r="G21" t="s">
        <v>476</v>
      </c>
      <c r="H21" s="3">
        <v>0</v>
      </c>
      <c r="I21" s="3">
        <v>0</v>
      </c>
      <c r="J21" s="3">
        <v>0</v>
      </c>
      <c r="K21" s="3">
        <v>82.27</v>
      </c>
      <c r="L21" s="3">
        <v>0</v>
      </c>
      <c r="M21" s="3">
        <v>0</v>
      </c>
      <c r="N21" s="3">
        <v>0</v>
      </c>
      <c r="O21" s="3">
        <v>10.6951</v>
      </c>
      <c r="P21" s="3">
        <v>92.965099999999993</v>
      </c>
      <c r="Q21">
        <v>3</v>
      </c>
    </row>
    <row r="22" spans="1:17" x14ac:dyDescent="0.25">
      <c r="A22" t="s">
        <v>788</v>
      </c>
      <c r="B22" t="s">
        <v>794</v>
      </c>
      <c r="C22" t="s">
        <v>1</v>
      </c>
      <c r="D22" t="s">
        <v>0</v>
      </c>
      <c r="E22">
        <v>2037</v>
      </c>
      <c r="F22" t="s">
        <v>475</v>
      </c>
      <c r="G22" t="s">
        <v>476</v>
      </c>
      <c r="H22" s="3">
        <v>0</v>
      </c>
      <c r="I22" s="3">
        <v>0</v>
      </c>
      <c r="J22" s="3">
        <v>0</v>
      </c>
      <c r="K22" s="3">
        <v>56.26</v>
      </c>
      <c r="L22" s="3">
        <v>0</v>
      </c>
      <c r="M22" s="3">
        <v>0</v>
      </c>
      <c r="N22" s="3">
        <v>0</v>
      </c>
      <c r="O22" s="3">
        <v>7.3137999999999996</v>
      </c>
      <c r="P22" s="3">
        <v>63.573799999999999</v>
      </c>
      <c r="Q22">
        <v>3</v>
      </c>
    </row>
    <row r="23" spans="1:17" x14ac:dyDescent="0.25">
      <c r="A23" t="s">
        <v>788</v>
      </c>
      <c r="B23" t="s">
        <v>807</v>
      </c>
      <c r="C23" t="s">
        <v>1</v>
      </c>
      <c r="D23" t="s">
        <v>0</v>
      </c>
      <c r="E23">
        <v>2145</v>
      </c>
      <c r="F23" t="s">
        <v>475</v>
      </c>
      <c r="G23" t="s">
        <v>476</v>
      </c>
      <c r="H23" s="3">
        <v>0</v>
      </c>
      <c r="I23" s="3">
        <v>0</v>
      </c>
      <c r="J23" s="3">
        <v>0</v>
      </c>
      <c r="K23" s="3">
        <v>59.7</v>
      </c>
      <c r="L23" s="3">
        <v>0</v>
      </c>
      <c r="M23" s="3">
        <v>0</v>
      </c>
      <c r="N23" s="3">
        <v>0</v>
      </c>
      <c r="O23" s="3">
        <v>7.761000000000001</v>
      </c>
      <c r="P23" s="3">
        <v>67.460999999999999</v>
      </c>
      <c r="Q23">
        <v>3</v>
      </c>
    </row>
    <row r="24" spans="1:17" x14ac:dyDescent="0.25">
      <c r="A24" t="s">
        <v>788</v>
      </c>
      <c r="B24" t="s">
        <v>789</v>
      </c>
      <c r="C24" t="s">
        <v>1</v>
      </c>
      <c r="D24" t="s">
        <v>0</v>
      </c>
      <c r="E24">
        <v>2089</v>
      </c>
      <c r="F24" t="s">
        <v>475</v>
      </c>
      <c r="G24" t="s">
        <v>476</v>
      </c>
      <c r="H24" s="3">
        <v>0</v>
      </c>
      <c r="I24" s="3">
        <v>0</v>
      </c>
      <c r="J24" s="3">
        <v>0</v>
      </c>
      <c r="K24" s="3">
        <v>56.26</v>
      </c>
      <c r="L24" s="3">
        <v>0</v>
      </c>
      <c r="M24" s="3">
        <v>0</v>
      </c>
      <c r="N24" s="3">
        <v>0</v>
      </c>
      <c r="O24" s="3">
        <v>7.3137999999999996</v>
      </c>
      <c r="P24" s="3">
        <v>63.573799999999999</v>
      </c>
      <c r="Q24">
        <v>3</v>
      </c>
    </row>
    <row r="25" spans="1:17" x14ac:dyDescent="0.25">
      <c r="A25" t="s">
        <v>788</v>
      </c>
      <c r="B25" t="s">
        <v>794</v>
      </c>
      <c r="C25" t="s">
        <v>1</v>
      </c>
      <c r="D25" t="s">
        <v>0</v>
      </c>
      <c r="E25">
        <v>2036</v>
      </c>
      <c r="F25" t="s">
        <v>475</v>
      </c>
      <c r="G25" t="s">
        <v>476</v>
      </c>
      <c r="H25" s="3">
        <v>0</v>
      </c>
      <c r="I25" s="3">
        <v>0</v>
      </c>
      <c r="J25" s="3">
        <v>0</v>
      </c>
      <c r="K25" s="3">
        <v>56.26</v>
      </c>
      <c r="L25" s="3">
        <v>0</v>
      </c>
      <c r="M25" s="3">
        <v>0</v>
      </c>
      <c r="N25" s="3">
        <v>0</v>
      </c>
      <c r="O25" s="3">
        <v>7.3137999999999996</v>
      </c>
      <c r="P25" s="3">
        <v>63.573799999999999</v>
      </c>
      <c r="Q25">
        <v>3</v>
      </c>
    </row>
    <row r="26" spans="1:17" x14ac:dyDescent="0.25">
      <c r="A26" t="s">
        <v>788</v>
      </c>
      <c r="B26" t="s">
        <v>802</v>
      </c>
      <c r="C26" t="s">
        <v>1</v>
      </c>
      <c r="D26" t="s">
        <v>0</v>
      </c>
      <c r="E26">
        <v>2201</v>
      </c>
      <c r="F26" t="s">
        <v>475</v>
      </c>
      <c r="G26" t="s">
        <v>476</v>
      </c>
      <c r="H26" s="3">
        <v>0</v>
      </c>
      <c r="I26" s="3">
        <v>0</v>
      </c>
      <c r="J26" s="3">
        <v>0</v>
      </c>
      <c r="K26" s="3">
        <v>29.8</v>
      </c>
      <c r="L26" s="3">
        <v>0</v>
      </c>
      <c r="M26" s="3">
        <v>0</v>
      </c>
      <c r="N26" s="3">
        <v>0</v>
      </c>
      <c r="O26" s="3">
        <v>3.8740000000000001</v>
      </c>
      <c r="P26" s="3">
        <v>33.673999999999999</v>
      </c>
      <c r="Q26">
        <v>3</v>
      </c>
    </row>
    <row r="27" spans="1:17" x14ac:dyDescent="0.25">
      <c r="A27" t="s">
        <v>788</v>
      </c>
      <c r="B27" t="s">
        <v>804</v>
      </c>
      <c r="C27" t="s">
        <v>1</v>
      </c>
      <c r="D27" t="s">
        <v>0</v>
      </c>
      <c r="E27">
        <v>2185</v>
      </c>
      <c r="F27" t="s">
        <v>475</v>
      </c>
      <c r="G27" t="s">
        <v>476</v>
      </c>
      <c r="H27" s="3">
        <v>0</v>
      </c>
      <c r="I27" s="3">
        <v>0</v>
      </c>
      <c r="J27" s="3">
        <v>0</v>
      </c>
      <c r="K27" s="3">
        <v>29.8</v>
      </c>
      <c r="L27" s="3">
        <v>0</v>
      </c>
      <c r="M27" s="3">
        <v>0</v>
      </c>
      <c r="N27" s="3">
        <v>0</v>
      </c>
      <c r="O27" s="3">
        <v>3.8740000000000001</v>
      </c>
      <c r="P27" s="3">
        <v>33.673999999999999</v>
      </c>
      <c r="Q27">
        <v>3</v>
      </c>
    </row>
    <row r="28" spans="1:17" x14ac:dyDescent="0.25">
      <c r="A28" t="s">
        <v>788</v>
      </c>
      <c r="B28" t="s">
        <v>823</v>
      </c>
      <c r="C28" t="s">
        <v>1</v>
      </c>
      <c r="D28" t="s">
        <v>0</v>
      </c>
      <c r="E28">
        <v>2155</v>
      </c>
      <c r="F28" t="s">
        <v>475</v>
      </c>
      <c r="G28" t="s">
        <v>476</v>
      </c>
      <c r="H28" s="3">
        <v>0</v>
      </c>
      <c r="I28" s="3">
        <v>0</v>
      </c>
      <c r="J28" s="3">
        <v>0</v>
      </c>
      <c r="K28" s="3">
        <v>29.8</v>
      </c>
      <c r="L28" s="3">
        <v>0</v>
      </c>
      <c r="M28" s="3">
        <v>0</v>
      </c>
      <c r="N28" s="3">
        <v>0</v>
      </c>
      <c r="O28" s="3">
        <v>3.8740000000000001</v>
      </c>
      <c r="P28" s="3">
        <v>33.673999999999999</v>
      </c>
      <c r="Q28">
        <v>3</v>
      </c>
    </row>
    <row r="29" spans="1:17" x14ac:dyDescent="0.25">
      <c r="A29" t="s">
        <v>788</v>
      </c>
      <c r="B29" t="s">
        <v>808</v>
      </c>
      <c r="C29" t="s">
        <v>1</v>
      </c>
      <c r="D29" t="s">
        <v>0</v>
      </c>
      <c r="E29">
        <v>2122</v>
      </c>
      <c r="F29" t="s">
        <v>475</v>
      </c>
      <c r="G29" t="s">
        <v>476</v>
      </c>
      <c r="H29" s="3">
        <v>0</v>
      </c>
      <c r="I29" s="3">
        <v>0</v>
      </c>
      <c r="J29" s="3">
        <v>0</v>
      </c>
      <c r="K29" s="3">
        <v>29.8</v>
      </c>
      <c r="L29" s="3">
        <v>0</v>
      </c>
      <c r="M29" s="3">
        <v>0</v>
      </c>
      <c r="N29" s="3">
        <v>0</v>
      </c>
      <c r="O29" s="3">
        <v>3.8740000000000001</v>
      </c>
      <c r="P29" s="3">
        <v>33.673999999999999</v>
      </c>
      <c r="Q29">
        <v>3</v>
      </c>
    </row>
    <row r="30" spans="1:17" x14ac:dyDescent="0.25">
      <c r="A30" t="s">
        <v>788</v>
      </c>
      <c r="B30" t="s">
        <v>787</v>
      </c>
      <c r="C30" t="s">
        <v>1</v>
      </c>
      <c r="D30" t="s">
        <v>0</v>
      </c>
      <c r="E30">
        <v>2100</v>
      </c>
      <c r="F30" t="s">
        <v>475</v>
      </c>
      <c r="G30" t="s">
        <v>476</v>
      </c>
      <c r="H30" s="3">
        <v>0</v>
      </c>
      <c r="I30" s="3">
        <v>0</v>
      </c>
      <c r="J30" s="3">
        <v>0</v>
      </c>
      <c r="K30" s="3">
        <v>28.08</v>
      </c>
      <c r="L30" s="3">
        <v>0</v>
      </c>
      <c r="M30" s="3">
        <v>0</v>
      </c>
      <c r="N30" s="3">
        <v>0</v>
      </c>
      <c r="O30" s="3">
        <v>3.6503999999999999</v>
      </c>
      <c r="P30" s="3">
        <v>31.730399999999999</v>
      </c>
      <c r="Q30">
        <v>3</v>
      </c>
    </row>
    <row r="31" spans="1:17" x14ac:dyDescent="0.25">
      <c r="A31" t="s">
        <v>788</v>
      </c>
      <c r="B31" t="s">
        <v>791</v>
      </c>
      <c r="C31" t="s">
        <v>1</v>
      </c>
      <c r="D31" t="s">
        <v>0</v>
      </c>
      <c r="E31">
        <v>2077</v>
      </c>
      <c r="F31" t="s">
        <v>475</v>
      </c>
      <c r="G31" t="s">
        <v>476</v>
      </c>
      <c r="H31" s="3">
        <v>0</v>
      </c>
      <c r="I31" s="3">
        <v>0</v>
      </c>
      <c r="J31" s="3">
        <v>0</v>
      </c>
      <c r="K31" s="3">
        <v>28.08</v>
      </c>
      <c r="L31" s="3">
        <v>0</v>
      </c>
      <c r="M31" s="3">
        <v>0</v>
      </c>
      <c r="N31" s="3">
        <v>0</v>
      </c>
      <c r="O31" s="3">
        <v>3.6503999999999999</v>
      </c>
      <c r="P31" s="3">
        <v>31.730399999999999</v>
      </c>
      <c r="Q31">
        <v>3</v>
      </c>
    </row>
    <row r="32" spans="1:17" x14ac:dyDescent="0.25">
      <c r="A32" t="s">
        <v>788</v>
      </c>
      <c r="B32" t="s">
        <v>822</v>
      </c>
      <c r="C32" t="s">
        <v>1</v>
      </c>
      <c r="D32" t="s">
        <v>0</v>
      </c>
      <c r="E32">
        <v>2043</v>
      </c>
      <c r="F32" t="s">
        <v>475</v>
      </c>
      <c r="G32" t="s">
        <v>476</v>
      </c>
      <c r="H32" s="3">
        <v>0</v>
      </c>
      <c r="I32" s="3">
        <v>0</v>
      </c>
      <c r="J32" s="3">
        <v>0</v>
      </c>
      <c r="K32" s="3">
        <v>28.08</v>
      </c>
      <c r="L32" s="3">
        <v>0</v>
      </c>
      <c r="M32" s="3">
        <v>0</v>
      </c>
      <c r="N32" s="3">
        <v>0</v>
      </c>
      <c r="O32" s="3">
        <v>3.6503999999999999</v>
      </c>
      <c r="P32" s="3">
        <v>31.730399999999999</v>
      </c>
      <c r="Q32">
        <v>3</v>
      </c>
    </row>
    <row r="33" spans="1:17" x14ac:dyDescent="0.25">
      <c r="A33" t="s">
        <v>788</v>
      </c>
      <c r="B33" t="s">
        <v>796</v>
      </c>
      <c r="C33" t="s">
        <v>1</v>
      </c>
      <c r="D33" t="s">
        <v>0</v>
      </c>
      <c r="E33">
        <v>2017</v>
      </c>
      <c r="F33" t="s">
        <v>475</v>
      </c>
      <c r="G33" t="s">
        <v>476</v>
      </c>
      <c r="H33" s="3">
        <v>0</v>
      </c>
      <c r="I33" s="3">
        <v>0</v>
      </c>
      <c r="J33" s="3">
        <v>0</v>
      </c>
      <c r="K33" s="3">
        <v>28.08</v>
      </c>
      <c r="L33" s="3">
        <v>0</v>
      </c>
      <c r="M33" s="3">
        <v>0</v>
      </c>
      <c r="N33" s="3">
        <v>0</v>
      </c>
      <c r="O33" s="3">
        <v>3.6503999999999999</v>
      </c>
      <c r="P33" s="3">
        <v>31.730399999999999</v>
      </c>
      <c r="Q33">
        <v>3</v>
      </c>
    </row>
    <row r="34" spans="1:17" x14ac:dyDescent="0.25">
      <c r="A34" t="s">
        <v>788</v>
      </c>
      <c r="B34" t="s">
        <v>799</v>
      </c>
      <c r="C34" t="s">
        <v>1</v>
      </c>
      <c r="D34" t="s">
        <v>0</v>
      </c>
      <c r="E34">
        <v>2223</v>
      </c>
      <c r="F34" t="s">
        <v>475</v>
      </c>
      <c r="G34" t="s">
        <v>476</v>
      </c>
      <c r="H34" s="3">
        <v>0</v>
      </c>
      <c r="I34" s="3">
        <v>0</v>
      </c>
      <c r="J34" s="3">
        <v>0</v>
      </c>
      <c r="K34" s="3">
        <v>59.7</v>
      </c>
      <c r="L34" s="3">
        <v>0</v>
      </c>
      <c r="M34" s="3">
        <v>0</v>
      </c>
      <c r="N34" s="3">
        <v>0</v>
      </c>
      <c r="O34" s="3">
        <v>7.761000000000001</v>
      </c>
      <c r="P34" s="3">
        <v>67.460999999999999</v>
      </c>
      <c r="Q34">
        <v>3</v>
      </c>
    </row>
    <row r="35" spans="1:17" x14ac:dyDescent="0.25">
      <c r="A35" t="s">
        <v>788</v>
      </c>
      <c r="B35" t="s">
        <v>802</v>
      </c>
      <c r="C35" t="s">
        <v>1</v>
      </c>
      <c r="D35" t="s">
        <v>0</v>
      </c>
      <c r="E35">
        <v>2207</v>
      </c>
      <c r="F35" t="s">
        <v>475</v>
      </c>
      <c r="G35" t="s">
        <v>476</v>
      </c>
      <c r="H35" s="3">
        <v>0</v>
      </c>
      <c r="I35" s="3">
        <v>0</v>
      </c>
      <c r="J35" s="3">
        <v>0</v>
      </c>
      <c r="K35" s="3">
        <v>59.7</v>
      </c>
      <c r="L35" s="3">
        <v>0</v>
      </c>
      <c r="M35" s="3">
        <v>0</v>
      </c>
      <c r="N35" s="3">
        <v>0</v>
      </c>
      <c r="O35" s="3">
        <v>7.761000000000001</v>
      </c>
      <c r="P35" s="3">
        <v>67.460999999999999</v>
      </c>
      <c r="Q35">
        <v>3</v>
      </c>
    </row>
    <row r="36" spans="1:17" x14ac:dyDescent="0.25">
      <c r="A36" t="s">
        <v>788</v>
      </c>
      <c r="B36" t="s">
        <v>805</v>
      </c>
      <c r="C36" t="s">
        <v>1</v>
      </c>
      <c r="D36" t="s">
        <v>0</v>
      </c>
      <c r="E36">
        <v>2181</v>
      </c>
      <c r="F36" t="s">
        <v>475</v>
      </c>
      <c r="G36" t="s">
        <v>476</v>
      </c>
      <c r="H36" s="3">
        <v>0</v>
      </c>
      <c r="I36" s="3">
        <v>0</v>
      </c>
      <c r="J36" s="3">
        <v>0</v>
      </c>
      <c r="K36" s="3">
        <v>59.7</v>
      </c>
      <c r="L36" s="3">
        <v>0</v>
      </c>
      <c r="M36" s="3">
        <v>0</v>
      </c>
      <c r="N36" s="3">
        <v>0</v>
      </c>
      <c r="O36" s="3">
        <v>7.761000000000001</v>
      </c>
      <c r="P36" s="3">
        <v>67.460999999999999</v>
      </c>
      <c r="Q36">
        <v>3</v>
      </c>
    </row>
    <row r="37" spans="1:17" x14ac:dyDescent="0.25">
      <c r="A37" t="s">
        <v>788</v>
      </c>
      <c r="B37" t="s">
        <v>812</v>
      </c>
      <c r="C37" t="s">
        <v>1</v>
      </c>
      <c r="D37" t="s">
        <v>0</v>
      </c>
      <c r="E37">
        <v>2160</v>
      </c>
      <c r="F37" t="s">
        <v>475</v>
      </c>
      <c r="G37" t="s">
        <v>476</v>
      </c>
      <c r="H37" s="3">
        <v>0</v>
      </c>
      <c r="I37" s="3">
        <v>0</v>
      </c>
      <c r="J37" s="3">
        <v>0</v>
      </c>
      <c r="K37" s="3">
        <v>59.7</v>
      </c>
      <c r="L37" s="3">
        <v>0</v>
      </c>
      <c r="M37" s="3">
        <v>0</v>
      </c>
      <c r="N37" s="3">
        <v>0</v>
      </c>
      <c r="O37" s="3">
        <v>7.761000000000001</v>
      </c>
      <c r="P37" s="3">
        <v>67.460999999999999</v>
      </c>
      <c r="Q37">
        <v>3</v>
      </c>
    </row>
    <row r="38" spans="1:17" x14ac:dyDescent="0.25">
      <c r="A38" t="s">
        <v>788</v>
      </c>
      <c r="B38" t="s">
        <v>809</v>
      </c>
      <c r="C38" t="s">
        <v>1</v>
      </c>
      <c r="D38" t="s">
        <v>0</v>
      </c>
      <c r="E38">
        <v>2117</v>
      </c>
      <c r="F38" t="s">
        <v>475</v>
      </c>
      <c r="G38" t="s">
        <v>476</v>
      </c>
      <c r="H38" s="3">
        <v>0</v>
      </c>
      <c r="I38" s="3">
        <v>0</v>
      </c>
      <c r="J38" s="3">
        <v>0</v>
      </c>
      <c r="K38" s="3">
        <v>56.26</v>
      </c>
      <c r="L38" s="3">
        <v>0</v>
      </c>
      <c r="M38" s="3">
        <v>0</v>
      </c>
      <c r="N38" s="3">
        <v>0</v>
      </c>
      <c r="O38" s="3">
        <v>7.3137999999999996</v>
      </c>
      <c r="P38" s="3">
        <v>63.573799999999999</v>
      </c>
      <c r="Q38">
        <v>3</v>
      </c>
    </row>
    <row r="39" spans="1:17" x14ac:dyDescent="0.25">
      <c r="A39" t="s">
        <v>788</v>
      </c>
      <c r="B39" t="s">
        <v>787</v>
      </c>
      <c r="C39" t="s">
        <v>1</v>
      </c>
      <c r="D39" t="s">
        <v>0</v>
      </c>
      <c r="E39">
        <v>2104</v>
      </c>
      <c r="F39" t="s">
        <v>475</v>
      </c>
      <c r="G39" t="s">
        <v>476</v>
      </c>
      <c r="H39" s="3">
        <v>0</v>
      </c>
      <c r="I39" s="3">
        <v>0</v>
      </c>
      <c r="J39" s="3">
        <v>0</v>
      </c>
      <c r="K39" s="3">
        <v>57.39</v>
      </c>
      <c r="L39" s="3">
        <v>0</v>
      </c>
      <c r="M39" s="3">
        <v>0</v>
      </c>
      <c r="N39" s="3">
        <v>0</v>
      </c>
      <c r="O39" s="3">
        <v>7.4607000000000001</v>
      </c>
      <c r="P39" s="3">
        <v>64.850700000000003</v>
      </c>
      <c r="Q39">
        <v>3</v>
      </c>
    </row>
    <row r="40" spans="1:17" x14ac:dyDescent="0.25">
      <c r="A40" t="s">
        <v>788</v>
      </c>
      <c r="B40" t="s">
        <v>815</v>
      </c>
      <c r="C40" t="s">
        <v>1</v>
      </c>
      <c r="D40" t="s">
        <v>0</v>
      </c>
      <c r="E40">
        <v>2053</v>
      </c>
      <c r="F40" t="s">
        <v>475</v>
      </c>
      <c r="G40" t="s">
        <v>476</v>
      </c>
      <c r="H40" s="3">
        <v>0</v>
      </c>
      <c r="I40" s="3">
        <v>0</v>
      </c>
      <c r="J40" s="3">
        <v>0</v>
      </c>
      <c r="K40" s="3">
        <v>56.26</v>
      </c>
      <c r="L40" s="3">
        <v>0</v>
      </c>
      <c r="M40" s="3">
        <v>0</v>
      </c>
      <c r="N40" s="3">
        <v>0</v>
      </c>
      <c r="O40" s="3">
        <v>7.3137999999999996</v>
      </c>
      <c r="P40" s="3">
        <v>63.573799999999999</v>
      </c>
      <c r="Q40">
        <v>3</v>
      </c>
    </row>
    <row r="41" spans="1:17" x14ac:dyDescent="0.25">
      <c r="A41" t="s">
        <v>788</v>
      </c>
      <c r="B41" t="s">
        <v>796</v>
      </c>
      <c r="C41" t="s">
        <v>1</v>
      </c>
      <c r="D41" t="s">
        <v>0</v>
      </c>
      <c r="E41">
        <v>2018</v>
      </c>
      <c r="F41" t="s">
        <v>475</v>
      </c>
      <c r="G41" t="s">
        <v>476</v>
      </c>
      <c r="H41" s="3">
        <v>0</v>
      </c>
      <c r="I41" s="3">
        <v>0</v>
      </c>
      <c r="J41" s="3">
        <v>0</v>
      </c>
      <c r="K41" s="3">
        <v>56.26</v>
      </c>
      <c r="L41" s="3">
        <v>0</v>
      </c>
      <c r="M41" s="3">
        <v>0</v>
      </c>
      <c r="N41" s="3">
        <v>0</v>
      </c>
      <c r="O41" s="3">
        <v>7.3137999999999996</v>
      </c>
      <c r="P41" s="3">
        <v>63.573799999999999</v>
      </c>
      <c r="Q41">
        <v>3</v>
      </c>
    </row>
    <row r="42" spans="1:17" x14ac:dyDescent="0.25">
      <c r="A42" t="s">
        <v>788</v>
      </c>
      <c r="B42" t="s">
        <v>799</v>
      </c>
      <c r="C42" t="s">
        <v>1</v>
      </c>
      <c r="D42" t="s">
        <v>0</v>
      </c>
      <c r="E42">
        <v>2224</v>
      </c>
      <c r="F42" t="s">
        <v>475</v>
      </c>
      <c r="G42" t="s">
        <v>476</v>
      </c>
      <c r="H42" s="3">
        <v>0</v>
      </c>
      <c r="I42" s="3">
        <v>0</v>
      </c>
      <c r="J42" s="3">
        <v>0</v>
      </c>
      <c r="K42" s="3">
        <v>59.7</v>
      </c>
      <c r="L42" s="3">
        <v>0</v>
      </c>
      <c r="M42" s="3">
        <v>0</v>
      </c>
      <c r="N42" s="3">
        <v>0</v>
      </c>
      <c r="O42" s="3">
        <v>7.761000000000001</v>
      </c>
      <c r="P42" s="3">
        <v>67.460999999999999</v>
      </c>
      <c r="Q42">
        <v>3</v>
      </c>
    </row>
    <row r="43" spans="1:17" x14ac:dyDescent="0.25">
      <c r="A43" t="s">
        <v>788</v>
      </c>
      <c r="B43" t="s">
        <v>805</v>
      </c>
      <c r="C43" t="s">
        <v>1</v>
      </c>
      <c r="D43" t="s">
        <v>0</v>
      </c>
      <c r="E43">
        <v>2180</v>
      </c>
      <c r="F43" t="s">
        <v>475</v>
      </c>
      <c r="G43" t="s">
        <v>476</v>
      </c>
      <c r="H43" s="3">
        <v>0</v>
      </c>
      <c r="I43" s="3">
        <v>0</v>
      </c>
      <c r="J43" s="3">
        <v>0</v>
      </c>
      <c r="K43" s="3">
        <v>59.7</v>
      </c>
      <c r="L43" s="3">
        <v>0</v>
      </c>
      <c r="M43" s="3">
        <v>0</v>
      </c>
      <c r="N43" s="3">
        <v>0</v>
      </c>
      <c r="O43" s="3">
        <v>7.761000000000001</v>
      </c>
      <c r="P43" s="3">
        <v>67.460999999999999</v>
      </c>
      <c r="Q43">
        <v>3</v>
      </c>
    </row>
    <row r="44" spans="1:17" x14ac:dyDescent="0.25">
      <c r="A44" t="s">
        <v>788</v>
      </c>
      <c r="B44" t="s">
        <v>809</v>
      </c>
      <c r="C44" t="s">
        <v>1</v>
      </c>
      <c r="D44" t="s">
        <v>0</v>
      </c>
      <c r="E44">
        <v>2116</v>
      </c>
      <c r="F44" t="s">
        <v>475</v>
      </c>
      <c r="G44" t="s">
        <v>476</v>
      </c>
      <c r="H44" s="3">
        <v>0</v>
      </c>
      <c r="I44" s="3">
        <v>0</v>
      </c>
      <c r="J44" s="3">
        <v>0</v>
      </c>
      <c r="K44" s="3">
        <v>56.26</v>
      </c>
      <c r="L44" s="3">
        <v>0</v>
      </c>
      <c r="M44" s="3">
        <v>0</v>
      </c>
      <c r="N44" s="3">
        <v>0</v>
      </c>
      <c r="O44" s="3">
        <v>7.3137999999999996</v>
      </c>
      <c r="P44" s="3">
        <v>63.573799999999999</v>
      </c>
      <c r="Q44">
        <v>3</v>
      </c>
    </row>
    <row r="45" spans="1:17" x14ac:dyDescent="0.25">
      <c r="A45" t="s">
        <v>788</v>
      </c>
      <c r="B45" t="s">
        <v>791</v>
      </c>
      <c r="C45" t="s">
        <v>1</v>
      </c>
      <c r="D45" t="s">
        <v>0</v>
      </c>
      <c r="E45">
        <v>2074</v>
      </c>
      <c r="F45" t="s">
        <v>475</v>
      </c>
      <c r="G45" t="s">
        <v>476</v>
      </c>
      <c r="H45" s="3">
        <v>0</v>
      </c>
      <c r="I45" s="3">
        <v>0</v>
      </c>
      <c r="J45" s="3">
        <v>0</v>
      </c>
      <c r="K45" s="3">
        <v>56.26</v>
      </c>
      <c r="L45" s="3">
        <v>0</v>
      </c>
      <c r="M45" s="3">
        <v>0</v>
      </c>
      <c r="N45" s="3">
        <v>0</v>
      </c>
      <c r="O45" s="3">
        <v>7.3137999999999996</v>
      </c>
      <c r="P45" s="3">
        <v>63.573799999999999</v>
      </c>
      <c r="Q45">
        <v>3</v>
      </c>
    </row>
    <row r="46" spans="1:17" x14ac:dyDescent="0.25">
      <c r="A46" t="s">
        <v>788</v>
      </c>
      <c r="B46" t="s">
        <v>797</v>
      </c>
      <c r="C46" t="s">
        <v>1</v>
      </c>
      <c r="D46" t="s">
        <v>0</v>
      </c>
      <c r="E46">
        <v>2003</v>
      </c>
      <c r="F46" t="s">
        <v>475</v>
      </c>
      <c r="G46" t="s">
        <v>476</v>
      </c>
      <c r="H46" s="3">
        <v>0</v>
      </c>
      <c r="I46" s="3">
        <v>0</v>
      </c>
      <c r="J46" s="3">
        <v>0</v>
      </c>
      <c r="K46" s="3">
        <v>56.26</v>
      </c>
      <c r="L46" s="3">
        <v>0</v>
      </c>
      <c r="M46" s="3">
        <v>0</v>
      </c>
      <c r="N46" s="3">
        <v>0</v>
      </c>
      <c r="O46" s="3">
        <v>7.3137999999999996</v>
      </c>
      <c r="P46" s="3">
        <v>63.573799999999999</v>
      </c>
      <c r="Q46">
        <v>3</v>
      </c>
    </row>
    <row r="47" spans="1:17" x14ac:dyDescent="0.25">
      <c r="A47" t="s">
        <v>788</v>
      </c>
      <c r="B47" t="s">
        <v>801</v>
      </c>
      <c r="C47" t="s">
        <v>1</v>
      </c>
      <c r="D47" t="s">
        <v>0</v>
      </c>
      <c r="E47">
        <v>2217</v>
      </c>
      <c r="F47" t="s">
        <v>475</v>
      </c>
      <c r="G47" t="s">
        <v>476</v>
      </c>
      <c r="H47" s="3">
        <v>0</v>
      </c>
      <c r="I47" s="3">
        <v>0</v>
      </c>
      <c r="J47" s="3">
        <v>0</v>
      </c>
      <c r="K47" s="3">
        <v>31.28</v>
      </c>
      <c r="L47" s="3">
        <v>0</v>
      </c>
      <c r="M47" s="3">
        <v>0</v>
      </c>
      <c r="N47" s="3">
        <v>0</v>
      </c>
      <c r="O47" s="3">
        <v>4.0664000000000007</v>
      </c>
      <c r="P47" s="3">
        <v>35.346400000000003</v>
      </c>
      <c r="Q47">
        <v>3</v>
      </c>
    </row>
    <row r="48" spans="1:17" x14ac:dyDescent="0.25">
      <c r="A48" t="s">
        <v>788</v>
      </c>
      <c r="B48" t="s">
        <v>802</v>
      </c>
      <c r="C48" t="s">
        <v>1</v>
      </c>
      <c r="D48" t="s">
        <v>0</v>
      </c>
      <c r="E48">
        <v>2203</v>
      </c>
      <c r="F48" t="s">
        <v>475</v>
      </c>
      <c r="G48" t="s">
        <v>476</v>
      </c>
      <c r="H48" s="3">
        <v>0</v>
      </c>
      <c r="I48" s="3">
        <v>0</v>
      </c>
      <c r="J48" s="3">
        <v>0</v>
      </c>
      <c r="K48" s="3">
        <v>29.8</v>
      </c>
      <c r="L48" s="3">
        <v>0</v>
      </c>
      <c r="M48" s="3">
        <v>0</v>
      </c>
      <c r="N48" s="3">
        <v>0</v>
      </c>
      <c r="O48" s="3">
        <v>3.8740000000000001</v>
      </c>
      <c r="P48" s="3">
        <v>33.673999999999999</v>
      </c>
      <c r="Q48">
        <v>3</v>
      </c>
    </row>
    <row r="49" spans="1:17" x14ac:dyDescent="0.25">
      <c r="A49" t="s">
        <v>788</v>
      </c>
      <c r="B49" t="s">
        <v>804</v>
      </c>
      <c r="C49" t="s">
        <v>1</v>
      </c>
      <c r="D49" t="s">
        <v>0</v>
      </c>
      <c r="E49">
        <v>2189</v>
      </c>
      <c r="F49" t="s">
        <v>475</v>
      </c>
      <c r="G49" t="s">
        <v>476</v>
      </c>
      <c r="H49" s="3">
        <v>0</v>
      </c>
      <c r="I49" s="3">
        <v>0</v>
      </c>
      <c r="J49" s="3">
        <v>0</v>
      </c>
      <c r="K49" s="3">
        <v>53.04</v>
      </c>
      <c r="L49" s="3">
        <v>0</v>
      </c>
      <c r="M49" s="3">
        <v>0</v>
      </c>
      <c r="N49" s="3">
        <v>0</v>
      </c>
      <c r="O49" s="3">
        <v>6.8952</v>
      </c>
      <c r="P49" s="3">
        <v>59.935200000000002</v>
      </c>
      <c r="Q49">
        <v>3</v>
      </c>
    </row>
    <row r="50" spans="1:17" x14ac:dyDescent="0.25">
      <c r="A50" t="s">
        <v>788</v>
      </c>
      <c r="B50" t="s">
        <v>805</v>
      </c>
      <c r="C50" t="s">
        <v>1</v>
      </c>
      <c r="D50" t="s">
        <v>0</v>
      </c>
      <c r="E50">
        <v>2173</v>
      </c>
      <c r="F50" t="s">
        <v>475</v>
      </c>
      <c r="G50" t="s">
        <v>476</v>
      </c>
      <c r="H50" s="3">
        <v>0</v>
      </c>
      <c r="I50" s="3">
        <v>0</v>
      </c>
      <c r="J50" s="3">
        <v>0</v>
      </c>
      <c r="K50" s="3">
        <v>33.07</v>
      </c>
      <c r="L50" s="3">
        <v>0</v>
      </c>
      <c r="M50" s="3">
        <v>0</v>
      </c>
      <c r="N50" s="3">
        <v>0</v>
      </c>
      <c r="O50" s="3">
        <v>4.2991000000000001</v>
      </c>
      <c r="P50" s="3">
        <v>37.369100000000003</v>
      </c>
      <c r="Q50">
        <v>3</v>
      </c>
    </row>
    <row r="51" spans="1:17" x14ac:dyDescent="0.25">
      <c r="A51" t="s">
        <v>788</v>
      </c>
      <c r="B51" t="s">
        <v>807</v>
      </c>
      <c r="C51" t="s">
        <v>1</v>
      </c>
      <c r="D51" t="s">
        <v>0</v>
      </c>
      <c r="E51">
        <v>2150</v>
      </c>
      <c r="F51" t="s">
        <v>475</v>
      </c>
      <c r="G51" t="s">
        <v>476</v>
      </c>
      <c r="H51" s="3">
        <v>0</v>
      </c>
      <c r="I51" s="3">
        <v>0</v>
      </c>
      <c r="J51" s="3">
        <v>0</v>
      </c>
      <c r="K51" s="3">
        <v>29.8</v>
      </c>
      <c r="L51" s="3">
        <v>0</v>
      </c>
      <c r="M51" s="3">
        <v>0</v>
      </c>
      <c r="N51" s="3">
        <v>0</v>
      </c>
      <c r="O51" s="3">
        <v>3.8740000000000001</v>
      </c>
      <c r="P51" s="3">
        <v>33.673999999999999</v>
      </c>
      <c r="Q51">
        <v>3</v>
      </c>
    </row>
    <row r="52" spans="1:17" x14ac:dyDescent="0.25">
      <c r="A52" t="s">
        <v>788</v>
      </c>
      <c r="B52" t="s">
        <v>808</v>
      </c>
      <c r="C52" t="s">
        <v>1</v>
      </c>
      <c r="D52" t="s">
        <v>0</v>
      </c>
      <c r="E52">
        <v>2126</v>
      </c>
      <c r="F52" t="s">
        <v>475</v>
      </c>
      <c r="G52" t="s">
        <v>476</v>
      </c>
      <c r="H52" s="3">
        <v>0</v>
      </c>
      <c r="I52" s="3">
        <v>0</v>
      </c>
      <c r="J52" s="3">
        <v>0</v>
      </c>
      <c r="K52" s="3">
        <v>59.6</v>
      </c>
      <c r="L52" s="3">
        <v>0</v>
      </c>
      <c r="M52" s="3">
        <v>0</v>
      </c>
      <c r="N52" s="3">
        <v>0</v>
      </c>
      <c r="O52" s="3">
        <v>7.7480000000000002</v>
      </c>
      <c r="P52" s="3">
        <v>67.347999999999999</v>
      </c>
      <c r="Q52">
        <v>3</v>
      </c>
    </row>
    <row r="53" spans="1:17" x14ac:dyDescent="0.25">
      <c r="A53" t="s">
        <v>788</v>
      </c>
      <c r="B53" t="s">
        <v>814</v>
      </c>
      <c r="C53" t="s">
        <v>1</v>
      </c>
      <c r="D53" t="s">
        <v>0</v>
      </c>
      <c r="E53">
        <v>2111</v>
      </c>
      <c r="F53" t="s">
        <v>475</v>
      </c>
      <c r="G53" t="s">
        <v>476</v>
      </c>
      <c r="H53" s="3">
        <v>0</v>
      </c>
      <c r="I53" s="3">
        <v>0</v>
      </c>
      <c r="J53" s="3">
        <v>0</v>
      </c>
      <c r="K53" s="3">
        <v>42.68</v>
      </c>
      <c r="L53" s="3">
        <v>0</v>
      </c>
      <c r="M53" s="3">
        <v>0</v>
      </c>
      <c r="N53" s="3">
        <v>0</v>
      </c>
      <c r="O53" s="3">
        <v>5.5484</v>
      </c>
      <c r="P53" s="3">
        <v>48.228400000000001</v>
      </c>
      <c r="Q53">
        <v>3</v>
      </c>
    </row>
    <row r="54" spans="1:17" x14ac:dyDescent="0.25">
      <c r="A54" t="s">
        <v>788</v>
      </c>
      <c r="B54" t="s">
        <v>787</v>
      </c>
      <c r="C54" t="s">
        <v>1</v>
      </c>
      <c r="D54" t="s">
        <v>0</v>
      </c>
      <c r="E54">
        <v>2098</v>
      </c>
      <c r="F54" t="s">
        <v>475</v>
      </c>
      <c r="G54" t="s">
        <v>476</v>
      </c>
      <c r="H54" s="3">
        <v>0</v>
      </c>
      <c r="I54" s="3">
        <v>0</v>
      </c>
      <c r="J54" s="3">
        <v>0</v>
      </c>
      <c r="K54" s="3">
        <v>29.48</v>
      </c>
      <c r="L54" s="3">
        <v>0</v>
      </c>
      <c r="M54" s="3">
        <v>0</v>
      </c>
      <c r="N54" s="3">
        <v>0</v>
      </c>
      <c r="O54" s="3">
        <v>3.8324000000000003</v>
      </c>
      <c r="P54" s="3">
        <v>33.312400000000004</v>
      </c>
      <c r="Q54">
        <v>3</v>
      </c>
    </row>
    <row r="55" spans="1:17" x14ac:dyDescent="0.25">
      <c r="A55" t="s">
        <v>788</v>
      </c>
      <c r="B55" t="s">
        <v>791</v>
      </c>
      <c r="C55" t="s">
        <v>1</v>
      </c>
      <c r="D55" t="s">
        <v>0</v>
      </c>
      <c r="E55">
        <v>2081</v>
      </c>
      <c r="F55" t="s">
        <v>475</v>
      </c>
      <c r="G55" t="s">
        <v>476</v>
      </c>
      <c r="H55" s="3">
        <v>0</v>
      </c>
      <c r="I55" s="3">
        <v>0</v>
      </c>
      <c r="J55" s="3">
        <v>0</v>
      </c>
      <c r="K55" s="3">
        <v>67.11</v>
      </c>
      <c r="L55" s="3">
        <v>0</v>
      </c>
      <c r="M55" s="3">
        <v>0</v>
      </c>
      <c r="N55" s="3">
        <v>0</v>
      </c>
      <c r="O55" s="3">
        <v>8.7242999999999995</v>
      </c>
      <c r="P55" s="3">
        <v>75.834299999999999</v>
      </c>
      <c r="Q55">
        <v>3</v>
      </c>
    </row>
    <row r="56" spans="1:17" x14ac:dyDescent="0.25">
      <c r="A56" t="s">
        <v>788</v>
      </c>
      <c r="B56" t="s">
        <v>815</v>
      </c>
      <c r="C56" t="s">
        <v>1</v>
      </c>
      <c r="D56" t="s">
        <v>0</v>
      </c>
      <c r="E56">
        <v>2057</v>
      </c>
      <c r="F56" t="s">
        <v>475</v>
      </c>
      <c r="G56" t="s">
        <v>476</v>
      </c>
      <c r="H56" s="3">
        <v>0</v>
      </c>
      <c r="I56" s="3">
        <v>0</v>
      </c>
      <c r="J56" s="3">
        <v>0</v>
      </c>
      <c r="K56" s="3">
        <v>46.89</v>
      </c>
      <c r="L56" s="3">
        <v>0</v>
      </c>
      <c r="M56" s="3">
        <v>0</v>
      </c>
      <c r="N56" s="3">
        <v>0</v>
      </c>
      <c r="O56" s="3">
        <v>6.0956999999999999</v>
      </c>
      <c r="P56" s="3">
        <v>52.985700000000001</v>
      </c>
      <c r="Q56">
        <v>3</v>
      </c>
    </row>
    <row r="57" spans="1:17" x14ac:dyDescent="0.25">
      <c r="A57" t="s">
        <v>788</v>
      </c>
      <c r="B57" t="s">
        <v>794</v>
      </c>
      <c r="C57" t="s">
        <v>1</v>
      </c>
      <c r="D57" t="s">
        <v>0</v>
      </c>
      <c r="E57">
        <v>2035</v>
      </c>
      <c r="F57" t="s">
        <v>475</v>
      </c>
      <c r="G57" t="s">
        <v>476</v>
      </c>
      <c r="H57" s="3">
        <v>0</v>
      </c>
      <c r="I57" s="3">
        <v>0</v>
      </c>
      <c r="J57" s="3">
        <v>0</v>
      </c>
      <c r="K57" s="3">
        <v>56.16</v>
      </c>
      <c r="L57" s="3">
        <v>0</v>
      </c>
      <c r="M57" s="3">
        <v>0</v>
      </c>
      <c r="N57" s="3">
        <v>0</v>
      </c>
      <c r="O57" s="3">
        <v>7.3007999999999997</v>
      </c>
      <c r="P57" s="3">
        <v>63.460799999999999</v>
      </c>
      <c r="Q57">
        <v>3</v>
      </c>
    </row>
    <row r="58" spans="1:17" x14ac:dyDescent="0.25">
      <c r="A58" t="s">
        <v>788</v>
      </c>
      <c r="B58" t="s">
        <v>796</v>
      </c>
      <c r="C58" t="s">
        <v>1</v>
      </c>
      <c r="D58" t="s">
        <v>0</v>
      </c>
      <c r="E58">
        <v>2011</v>
      </c>
      <c r="F58" t="s">
        <v>475</v>
      </c>
      <c r="G58" t="s">
        <v>476</v>
      </c>
      <c r="H58" s="3">
        <v>0</v>
      </c>
      <c r="I58" s="3">
        <v>0</v>
      </c>
      <c r="J58" s="3">
        <v>0</v>
      </c>
      <c r="K58" s="3">
        <v>105.58</v>
      </c>
      <c r="L58" s="3">
        <v>0</v>
      </c>
      <c r="M58" s="3">
        <v>0</v>
      </c>
      <c r="N58" s="3">
        <v>0</v>
      </c>
      <c r="O58" s="3">
        <v>13.7254</v>
      </c>
      <c r="P58" s="3">
        <v>119.30539999999999</v>
      </c>
      <c r="Q58">
        <v>3</v>
      </c>
    </row>
    <row r="59" spans="1:17" x14ac:dyDescent="0.25">
      <c r="A59" t="s">
        <v>788</v>
      </c>
      <c r="B59" t="s">
        <v>802</v>
      </c>
      <c r="C59" t="s">
        <v>1</v>
      </c>
      <c r="D59" t="s">
        <v>0</v>
      </c>
      <c r="E59">
        <v>2202</v>
      </c>
      <c r="F59" t="s">
        <v>475</v>
      </c>
      <c r="G59" t="s">
        <v>476</v>
      </c>
      <c r="H59" s="3">
        <v>0</v>
      </c>
      <c r="I59" s="3">
        <v>0</v>
      </c>
      <c r="J59" s="3">
        <v>0</v>
      </c>
      <c r="K59" s="3">
        <v>38.43</v>
      </c>
      <c r="L59" s="3">
        <v>0</v>
      </c>
      <c r="M59" s="3">
        <v>0</v>
      </c>
      <c r="N59" s="3">
        <v>0</v>
      </c>
      <c r="O59" s="3">
        <v>4.9958999999999998</v>
      </c>
      <c r="P59" s="3">
        <v>43.425899999999999</v>
      </c>
      <c r="Q59">
        <v>3</v>
      </c>
    </row>
    <row r="60" spans="1:17" x14ac:dyDescent="0.25">
      <c r="A60" t="s">
        <v>788</v>
      </c>
      <c r="B60" t="s">
        <v>804</v>
      </c>
      <c r="C60" t="s">
        <v>1</v>
      </c>
      <c r="D60" t="s">
        <v>0</v>
      </c>
      <c r="E60">
        <v>2186</v>
      </c>
      <c r="F60" t="s">
        <v>475</v>
      </c>
      <c r="G60" t="s">
        <v>476</v>
      </c>
      <c r="H60" s="3">
        <v>0</v>
      </c>
      <c r="I60" s="3">
        <v>0</v>
      </c>
      <c r="J60" s="3">
        <v>0</v>
      </c>
      <c r="K60" s="3">
        <v>43.5</v>
      </c>
      <c r="L60" s="3">
        <v>0</v>
      </c>
      <c r="M60" s="3">
        <v>0</v>
      </c>
      <c r="N60" s="3">
        <v>0</v>
      </c>
      <c r="O60" s="3">
        <v>5.6550000000000002</v>
      </c>
      <c r="P60" s="3">
        <v>49.155000000000001</v>
      </c>
      <c r="Q60">
        <v>3</v>
      </c>
    </row>
    <row r="61" spans="1:17" x14ac:dyDescent="0.25">
      <c r="A61" t="s">
        <v>788</v>
      </c>
      <c r="B61" t="s">
        <v>812</v>
      </c>
      <c r="C61" t="s">
        <v>1</v>
      </c>
      <c r="D61" t="s">
        <v>0</v>
      </c>
      <c r="E61">
        <v>2156</v>
      </c>
      <c r="F61" t="s">
        <v>475</v>
      </c>
      <c r="G61" t="s">
        <v>476</v>
      </c>
      <c r="H61" s="3">
        <v>0</v>
      </c>
      <c r="I61" s="3">
        <v>0</v>
      </c>
      <c r="J61" s="3">
        <v>0</v>
      </c>
      <c r="K61" s="3">
        <v>47.67</v>
      </c>
      <c r="L61" s="3">
        <v>0</v>
      </c>
      <c r="M61" s="3">
        <v>0</v>
      </c>
      <c r="N61" s="3">
        <v>0</v>
      </c>
      <c r="O61" s="3">
        <v>6.1971000000000007</v>
      </c>
      <c r="P61" s="3">
        <v>53.867100000000001</v>
      </c>
      <c r="Q61">
        <v>3</v>
      </c>
    </row>
    <row r="62" spans="1:17" x14ac:dyDescent="0.25">
      <c r="A62" t="s">
        <v>788</v>
      </c>
      <c r="B62" t="s">
        <v>789</v>
      </c>
      <c r="C62" t="s">
        <v>1</v>
      </c>
      <c r="D62" t="s">
        <v>0</v>
      </c>
      <c r="E62">
        <v>2123</v>
      </c>
      <c r="F62" t="s">
        <v>475</v>
      </c>
      <c r="G62" t="s">
        <v>476</v>
      </c>
      <c r="H62" s="3">
        <v>0</v>
      </c>
      <c r="I62" s="3">
        <v>0</v>
      </c>
      <c r="J62" s="3">
        <v>0</v>
      </c>
      <c r="K62" s="3">
        <v>43.21</v>
      </c>
      <c r="L62" s="3">
        <v>0</v>
      </c>
      <c r="M62" s="3">
        <v>0</v>
      </c>
      <c r="N62" s="3">
        <v>0</v>
      </c>
      <c r="O62" s="3">
        <v>5.6173000000000002</v>
      </c>
      <c r="P62" s="3">
        <v>48.827300000000001</v>
      </c>
      <c r="Q62">
        <v>3</v>
      </c>
    </row>
    <row r="63" spans="1:17" x14ac:dyDescent="0.25">
      <c r="A63" t="s">
        <v>788</v>
      </c>
      <c r="B63" t="s">
        <v>787</v>
      </c>
      <c r="C63" t="s">
        <v>1</v>
      </c>
      <c r="D63" t="s">
        <v>0</v>
      </c>
      <c r="E63">
        <v>2099</v>
      </c>
      <c r="F63" t="s">
        <v>475</v>
      </c>
      <c r="G63" t="s">
        <v>476</v>
      </c>
      <c r="H63" s="3">
        <v>0</v>
      </c>
      <c r="I63" s="3">
        <v>0</v>
      </c>
      <c r="J63" s="3">
        <v>0</v>
      </c>
      <c r="K63" s="3">
        <v>36.5</v>
      </c>
      <c r="L63" s="3">
        <v>0</v>
      </c>
      <c r="M63" s="3">
        <v>0</v>
      </c>
      <c r="N63" s="3">
        <v>0</v>
      </c>
      <c r="O63" s="3">
        <v>4.7450000000000001</v>
      </c>
      <c r="P63" s="3">
        <v>41.244999999999997</v>
      </c>
      <c r="Q63">
        <v>3</v>
      </c>
    </row>
    <row r="64" spans="1:17" x14ac:dyDescent="0.25">
      <c r="A64" t="s">
        <v>788</v>
      </c>
      <c r="B64" t="s">
        <v>791</v>
      </c>
      <c r="C64" t="s">
        <v>1</v>
      </c>
      <c r="D64" t="s">
        <v>0</v>
      </c>
      <c r="E64">
        <v>2078</v>
      </c>
      <c r="F64" t="s">
        <v>475</v>
      </c>
      <c r="G64" t="s">
        <v>476</v>
      </c>
      <c r="H64" s="3">
        <v>0</v>
      </c>
      <c r="I64" s="3">
        <v>0</v>
      </c>
      <c r="J64" s="3">
        <v>0</v>
      </c>
      <c r="K64" s="3">
        <v>53.91</v>
      </c>
      <c r="L64" s="3">
        <v>0</v>
      </c>
      <c r="M64" s="3">
        <v>0</v>
      </c>
      <c r="N64" s="3">
        <v>0</v>
      </c>
      <c r="O64" s="3">
        <v>7.0083000000000002</v>
      </c>
      <c r="P64" s="3">
        <v>60.918299999999995</v>
      </c>
      <c r="Q64">
        <v>3</v>
      </c>
    </row>
    <row r="65" spans="1:17" x14ac:dyDescent="0.25">
      <c r="A65" t="s">
        <v>788</v>
      </c>
      <c r="B65" t="s">
        <v>822</v>
      </c>
      <c r="C65" t="s">
        <v>1</v>
      </c>
      <c r="D65" t="s">
        <v>0</v>
      </c>
      <c r="E65">
        <v>2044</v>
      </c>
      <c r="F65" t="s">
        <v>475</v>
      </c>
      <c r="G65" t="s">
        <v>476</v>
      </c>
      <c r="H65" s="3">
        <v>0</v>
      </c>
      <c r="I65" s="3">
        <v>0</v>
      </c>
      <c r="J65" s="3">
        <v>0</v>
      </c>
      <c r="K65" s="3">
        <v>61.21</v>
      </c>
      <c r="L65" s="3">
        <v>0</v>
      </c>
      <c r="M65" s="3">
        <v>0</v>
      </c>
      <c r="N65" s="3">
        <v>0</v>
      </c>
      <c r="O65" s="3">
        <v>7.9573</v>
      </c>
      <c r="P65" s="3">
        <v>69.167299999999997</v>
      </c>
      <c r="Q65">
        <v>3</v>
      </c>
    </row>
    <row r="66" spans="1:17" x14ac:dyDescent="0.25">
      <c r="A66" t="s">
        <v>788</v>
      </c>
      <c r="B66" t="s">
        <v>796</v>
      </c>
      <c r="C66" t="s">
        <v>1</v>
      </c>
      <c r="D66" t="s">
        <v>0</v>
      </c>
      <c r="E66">
        <v>2010</v>
      </c>
      <c r="F66" t="s">
        <v>475</v>
      </c>
      <c r="G66" t="s">
        <v>476</v>
      </c>
      <c r="H66" s="3">
        <v>0</v>
      </c>
      <c r="I66" s="3">
        <v>0</v>
      </c>
      <c r="J66" s="3">
        <v>0</v>
      </c>
      <c r="K66" s="3">
        <v>53.63</v>
      </c>
      <c r="L66" s="3">
        <v>0</v>
      </c>
      <c r="M66" s="3">
        <v>0</v>
      </c>
      <c r="N66" s="3">
        <v>0</v>
      </c>
      <c r="O66" s="3">
        <v>6.9719000000000007</v>
      </c>
      <c r="P66" s="3">
        <v>60.601900000000001</v>
      </c>
      <c r="Q66">
        <v>3</v>
      </c>
    </row>
    <row r="67" spans="1:17" x14ac:dyDescent="0.25">
      <c r="A67" t="s">
        <v>788</v>
      </c>
      <c r="B67" t="s">
        <v>796</v>
      </c>
      <c r="C67" t="s">
        <v>1</v>
      </c>
      <c r="D67" t="s">
        <v>0</v>
      </c>
      <c r="E67">
        <v>5562049</v>
      </c>
      <c r="F67" t="s">
        <v>557</v>
      </c>
      <c r="G67" t="s">
        <v>558</v>
      </c>
      <c r="H67" s="3">
        <v>0</v>
      </c>
      <c r="I67" s="3">
        <v>0</v>
      </c>
      <c r="J67" s="3">
        <v>0</v>
      </c>
      <c r="K67" s="3">
        <v>25.99</v>
      </c>
      <c r="L67" s="3">
        <v>0</v>
      </c>
      <c r="M67" s="3">
        <v>0</v>
      </c>
      <c r="N67" s="3">
        <v>0</v>
      </c>
      <c r="O67" s="3">
        <v>3.3786999999999998</v>
      </c>
      <c r="P67" s="3">
        <v>29.368699999999997</v>
      </c>
      <c r="Q67">
        <v>3</v>
      </c>
    </row>
    <row r="68" spans="1:17" x14ac:dyDescent="0.25">
      <c r="A68" t="s">
        <v>788</v>
      </c>
      <c r="B68" t="s">
        <v>796</v>
      </c>
      <c r="C68" t="s">
        <v>1</v>
      </c>
      <c r="D68" t="s">
        <v>0</v>
      </c>
      <c r="E68">
        <v>826966</v>
      </c>
      <c r="F68" t="s">
        <v>433</v>
      </c>
      <c r="G68" t="s">
        <v>434</v>
      </c>
      <c r="H68" s="3">
        <v>0</v>
      </c>
      <c r="I68" s="3">
        <v>0</v>
      </c>
      <c r="J68" s="3">
        <v>0</v>
      </c>
      <c r="K68" s="3">
        <v>91.1</v>
      </c>
      <c r="L68" s="3">
        <v>0</v>
      </c>
      <c r="M68" s="3">
        <v>0</v>
      </c>
      <c r="N68" s="3">
        <v>0</v>
      </c>
      <c r="O68" s="3">
        <v>11.843</v>
      </c>
      <c r="P68" s="3">
        <v>102.943</v>
      </c>
      <c r="Q68">
        <v>3</v>
      </c>
    </row>
    <row r="69" spans="1:17" x14ac:dyDescent="0.25">
      <c r="A69" t="s">
        <v>788</v>
      </c>
      <c r="B69" t="s">
        <v>796</v>
      </c>
      <c r="C69" t="s">
        <v>1</v>
      </c>
      <c r="D69" t="s">
        <v>0</v>
      </c>
      <c r="E69">
        <v>31501811</v>
      </c>
      <c r="F69" t="s">
        <v>557</v>
      </c>
      <c r="G69" t="s">
        <v>558</v>
      </c>
      <c r="H69" s="3">
        <v>0</v>
      </c>
      <c r="I69" s="3">
        <v>0</v>
      </c>
      <c r="J69" s="3">
        <v>0</v>
      </c>
      <c r="K69" s="3">
        <v>25.99</v>
      </c>
      <c r="L69" s="3">
        <v>0</v>
      </c>
      <c r="M69" s="3">
        <v>0</v>
      </c>
      <c r="N69" s="3">
        <v>0</v>
      </c>
      <c r="O69" s="3">
        <v>3.3786999999999998</v>
      </c>
      <c r="P69" s="3">
        <v>29.368699999999997</v>
      </c>
      <c r="Q69">
        <v>3</v>
      </c>
    </row>
    <row r="70" spans="1:17" x14ac:dyDescent="0.25">
      <c r="A70" t="s">
        <v>788</v>
      </c>
      <c r="B70" t="s">
        <v>796</v>
      </c>
      <c r="C70" t="s">
        <v>1</v>
      </c>
      <c r="D70" t="s">
        <v>0</v>
      </c>
      <c r="E70">
        <v>5146</v>
      </c>
      <c r="F70" t="s">
        <v>820</v>
      </c>
      <c r="G70" t="s">
        <v>821</v>
      </c>
      <c r="H70" s="3">
        <v>0</v>
      </c>
      <c r="I70" s="3">
        <v>0</v>
      </c>
      <c r="J70" s="3">
        <v>0</v>
      </c>
      <c r="K70" s="3">
        <v>53.1</v>
      </c>
      <c r="L70" s="3">
        <v>0</v>
      </c>
      <c r="M70" s="3">
        <v>0</v>
      </c>
      <c r="N70" s="3">
        <v>0</v>
      </c>
      <c r="O70" s="3">
        <v>6.9030000000000005</v>
      </c>
      <c r="P70" s="3">
        <v>60.003</v>
      </c>
      <c r="Q70">
        <v>3</v>
      </c>
    </row>
    <row r="71" spans="1:17" x14ac:dyDescent="0.25">
      <c r="A71" t="s">
        <v>788</v>
      </c>
      <c r="B71" t="s">
        <v>809</v>
      </c>
      <c r="C71" t="s">
        <v>1</v>
      </c>
      <c r="D71" t="s">
        <v>0</v>
      </c>
      <c r="E71">
        <v>5245</v>
      </c>
      <c r="F71" t="s">
        <v>820</v>
      </c>
      <c r="G71" t="s">
        <v>821</v>
      </c>
      <c r="H71" s="3">
        <v>0</v>
      </c>
      <c r="I71" s="3">
        <v>0</v>
      </c>
      <c r="J71" s="3">
        <v>0</v>
      </c>
      <c r="K71" s="3">
        <v>107.3</v>
      </c>
      <c r="L71" s="3">
        <v>0</v>
      </c>
      <c r="M71" s="3">
        <v>0</v>
      </c>
      <c r="N71" s="3">
        <v>0</v>
      </c>
      <c r="O71" s="3">
        <v>13.949</v>
      </c>
      <c r="P71" s="3">
        <v>121.249</v>
      </c>
      <c r="Q71">
        <v>3</v>
      </c>
    </row>
    <row r="72" spans="1:17" x14ac:dyDescent="0.25">
      <c r="A72" t="s">
        <v>788</v>
      </c>
      <c r="B72" t="s">
        <v>794</v>
      </c>
      <c r="C72" t="s">
        <v>1</v>
      </c>
      <c r="D72" t="s">
        <v>0</v>
      </c>
      <c r="E72">
        <v>5176</v>
      </c>
      <c r="F72" t="s">
        <v>820</v>
      </c>
      <c r="G72" t="s">
        <v>821</v>
      </c>
      <c r="H72" s="3">
        <v>0</v>
      </c>
      <c r="I72" s="3">
        <v>0</v>
      </c>
      <c r="J72" s="3">
        <v>0</v>
      </c>
      <c r="K72" s="3">
        <v>71.900000000000006</v>
      </c>
      <c r="L72" s="3">
        <v>0</v>
      </c>
      <c r="M72" s="3">
        <v>0</v>
      </c>
      <c r="N72" s="3">
        <v>0</v>
      </c>
      <c r="O72" s="3">
        <v>9.3470000000000013</v>
      </c>
      <c r="P72" s="3">
        <v>81.247000000000014</v>
      </c>
      <c r="Q72">
        <v>3</v>
      </c>
    </row>
    <row r="73" spans="1:17" x14ac:dyDescent="0.25">
      <c r="A73" t="s">
        <v>788</v>
      </c>
      <c r="B73" t="s">
        <v>787</v>
      </c>
      <c r="C73" t="s">
        <v>1</v>
      </c>
      <c r="D73" t="s">
        <v>0</v>
      </c>
      <c r="E73">
        <v>46378</v>
      </c>
      <c r="F73" t="s">
        <v>103</v>
      </c>
      <c r="G73" t="s">
        <v>104</v>
      </c>
      <c r="H73" s="3">
        <v>0</v>
      </c>
      <c r="I73" s="3">
        <v>0</v>
      </c>
      <c r="J73" s="3">
        <v>0</v>
      </c>
      <c r="K73" s="3">
        <v>34.630000000000003</v>
      </c>
      <c r="L73" s="3">
        <v>0</v>
      </c>
      <c r="M73" s="3">
        <v>0</v>
      </c>
      <c r="N73" s="3">
        <v>0</v>
      </c>
      <c r="O73" s="3">
        <v>4.5019000000000009</v>
      </c>
      <c r="P73" s="3">
        <v>39.131900000000002</v>
      </c>
      <c r="Q73">
        <v>3</v>
      </c>
    </row>
    <row r="74" spans="1:17" x14ac:dyDescent="0.25">
      <c r="A74" t="s">
        <v>788</v>
      </c>
      <c r="B74" t="s">
        <v>813</v>
      </c>
      <c r="C74" t="s">
        <v>1</v>
      </c>
      <c r="D74" t="s">
        <v>0</v>
      </c>
      <c r="E74">
        <v>337</v>
      </c>
      <c r="F74" t="s">
        <v>663</v>
      </c>
      <c r="G74" t="s">
        <v>664</v>
      </c>
      <c r="H74" s="3">
        <v>0</v>
      </c>
      <c r="I74" s="3">
        <v>0</v>
      </c>
      <c r="J74" s="3">
        <v>0</v>
      </c>
      <c r="K74" s="3">
        <v>42.48</v>
      </c>
      <c r="L74" s="3">
        <v>0</v>
      </c>
      <c r="M74" s="3">
        <v>0</v>
      </c>
      <c r="N74" s="3">
        <v>0</v>
      </c>
      <c r="O74" s="3">
        <v>5.5224000000000002</v>
      </c>
      <c r="P74" s="3">
        <v>48.002399999999994</v>
      </c>
      <c r="Q74">
        <v>3</v>
      </c>
    </row>
    <row r="75" spans="1:17" x14ac:dyDescent="0.25">
      <c r="A75" t="s">
        <v>788</v>
      </c>
      <c r="B75" t="s">
        <v>791</v>
      </c>
      <c r="C75" t="s">
        <v>1</v>
      </c>
      <c r="D75" t="s">
        <v>0</v>
      </c>
      <c r="E75">
        <v>82287</v>
      </c>
      <c r="F75" t="s">
        <v>473</v>
      </c>
      <c r="G75" t="s">
        <v>474</v>
      </c>
      <c r="H75" s="3">
        <v>0</v>
      </c>
      <c r="I75" s="3">
        <v>0</v>
      </c>
      <c r="J75" s="3">
        <v>0</v>
      </c>
      <c r="K75" s="3">
        <v>43.65</v>
      </c>
      <c r="L75" s="3">
        <v>0</v>
      </c>
      <c r="M75" s="3">
        <v>0</v>
      </c>
      <c r="N75" s="3">
        <v>0</v>
      </c>
      <c r="O75" s="3">
        <v>5.6745000000000001</v>
      </c>
      <c r="P75" s="3">
        <v>49.3245</v>
      </c>
      <c r="Q75">
        <v>3</v>
      </c>
    </row>
    <row r="76" spans="1:17" x14ac:dyDescent="0.25">
      <c r="A76" t="s">
        <v>788</v>
      </c>
      <c r="B76" t="s">
        <v>805</v>
      </c>
      <c r="C76" t="s">
        <v>1</v>
      </c>
      <c r="D76" t="s">
        <v>0</v>
      </c>
      <c r="E76">
        <v>6889</v>
      </c>
      <c r="F76" t="s">
        <v>571</v>
      </c>
      <c r="G76" t="s">
        <v>572</v>
      </c>
      <c r="H76" s="3">
        <v>0</v>
      </c>
      <c r="I76" s="3">
        <v>0</v>
      </c>
      <c r="J76" s="3">
        <v>0</v>
      </c>
      <c r="K76" s="3">
        <v>58.41</v>
      </c>
      <c r="L76" s="3">
        <v>0</v>
      </c>
      <c r="M76" s="3">
        <v>0</v>
      </c>
      <c r="N76" s="3">
        <v>0</v>
      </c>
      <c r="O76" s="3">
        <v>7.5933000000000002</v>
      </c>
      <c r="P76" s="3">
        <v>66.003299999999996</v>
      </c>
      <c r="Q76">
        <v>3</v>
      </c>
    </row>
    <row r="77" spans="1:17" x14ac:dyDescent="0.25">
      <c r="A77" t="s">
        <v>788</v>
      </c>
      <c r="B77" t="s">
        <v>795</v>
      </c>
      <c r="C77" t="s">
        <v>1</v>
      </c>
      <c r="D77" t="s">
        <v>0</v>
      </c>
      <c r="E77">
        <v>45855</v>
      </c>
      <c r="F77" t="s">
        <v>103</v>
      </c>
      <c r="G77" t="s">
        <v>104</v>
      </c>
      <c r="H77" s="3">
        <v>0</v>
      </c>
      <c r="I77" s="3">
        <v>0</v>
      </c>
      <c r="J77" s="3">
        <v>0</v>
      </c>
      <c r="K77" s="3">
        <v>159.35</v>
      </c>
      <c r="L77" s="3">
        <v>0</v>
      </c>
      <c r="M77" s="3">
        <v>0</v>
      </c>
      <c r="N77" s="3">
        <v>0</v>
      </c>
      <c r="O77" s="3">
        <v>20.715499999999999</v>
      </c>
      <c r="P77" s="3">
        <v>180.06549999999999</v>
      </c>
      <c r="Q77">
        <v>3</v>
      </c>
    </row>
    <row r="78" spans="1:17" x14ac:dyDescent="0.25">
      <c r="A78" t="s">
        <v>788</v>
      </c>
      <c r="B78" t="s">
        <v>808</v>
      </c>
      <c r="C78" t="s">
        <v>1</v>
      </c>
      <c r="D78" t="s">
        <v>0</v>
      </c>
      <c r="E78">
        <v>4170</v>
      </c>
      <c r="F78" t="s">
        <v>818</v>
      </c>
      <c r="G78" t="s">
        <v>819</v>
      </c>
      <c r="H78" s="3">
        <v>0</v>
      </c>
      <c r="I78" s="3">
        <v>0</v>
      </c>
      <c r="J78" s="3">
        <v>0</v>
      </c>
      <c r="K78" s="3">
        <v>300</v>
      </c>
      <c r="L78" s="3">
        <v>0</v>
      </c>
      <c r="M78" s="3">
        <v>0</v>
      </c>
      <c r="N78" s="3">
        <v>0</v>
      </c>
      <c r="O78" s="3">
        <v>39</v>
      </c>
      <c r="P78" s="3">
        <v>339</v>
      </c>
      <c r="Q78">
        <v>3</v>
      </c>
    </row>
    <row r="79" spans="1:17" x14ac:dyDescent="0.25">
      <c r="A79" t="s">
        <v>788</v>
      </c>
      <c r="B79" t="s">
        <v>789</v>
      </c>
      <c r="C79" t="s">
        <v>1</v>
      </c>
      <c r="D79" t="s">
        <v>0</v>
      </c>
      <c r="E79">
        <v>17785</v>
      </c>
      <c r="F79" t="s">
        <v>453</v>
      </c>
      <c r="G79" t="s">
        <v>454</v>
      </c>
      <c r="H79" s="3">
        <v>0</v>
      </c>
      <c r="I79" s="3">
        <v>0</v>
      </c>
      <c r="J79" s="3">
        <v>0</v>
      </c>
      <c r="K79" s="3">
        <v>9.44</v>
      </c>
      <c r="L79" s="3">
        <v>0</v>
      </c>
      <c r="M79" s="3">
        <v>0</v>
      </c>
      <c r="N79" s="3">
        <v>0</v>
      </c>
      <c r="O79" s="3">
        <v>1.2272000000000001</v>
      </c>
      <c r="P79" s="3">
        <v>10.667199999999999</v>
      </c>
      <c r="Q79">
        <v>3</v>
      </c>
    </row>
    <row r="80" spans="1:17" x14ac:dyDescent="0.25">
      <c r="A80" t="s">
        <v>788</v>
      </c>
      <c r="B80" t="s">
        <v>808</v>
      </c>
      <c r="C80" t="s">
        <v>1</v>
      </c>
      <c r="D80" t="s">
        <v>0</v>
      </c>
      <c r="E80">
        <v>17947</v>
      </c>
      <c r="F80" t="s">
        <v>453</v>
      </c>
      <c r="G80" t="s">
        <v>454</v>
      </c>
      <c r="H80" s="3">
        <v>0</v>
      </c>
      <c r="I80" s="3">
        <v>0</v>
      </c>
      <c r="J80" s="3">
        <v>0</v>
      </c>
      <c r="K80" s="3">
        <v>18.88</v>
      </c>
      <c r="L80" s="3">
        <v>0</v>
      </c>
      <c r="M80" s="3">
        <v>0</v>
      </c>
      <c r="N80" s="3">
        <v>0</v>
      </c>
      <c r="O80" s="3">
        <v>2.4544000000000001</v>
      </c>
      <c r="P80" s="3">
        <v>21.334399999999999</v>
      </c>
      <c r="Q80">
        <v>3</v>
      </c>
    </row>
    <row r="81" spans="1:17" x14ac:dyDescent="0.25">
      <c r="A81" t="s">
        <v>788</v>
      </c>
      <c r="B81" t="s">
        <v>790</v>
      </c>
      <c r="C81" t="s">
        <v>1</v>
      </c>
      <c r="D81" t="s">
        <v>0</v>
      </c>
      <c r="E81">
        <v>17748</v>
      </c>
      <c r="F81" t="s">
        <v>453</v>
      </c>
      <c r="G81" t="s">
        <v>454</v>
      </c>
      <c r="H81" s="3">
        <v>0</v>
      </c>
      <c r="I81" s="3">
        <v>0</v>
      </c>
      <c r="J81" s="3">
        <v>0</v>
      </c>
      <c r="K81" s="3">
        <v>22.5</v>
      </c>
      <c r="L81" s="3">
        <v>0</v>
      </c>
      <c r="M81" s="3">
        <v>0</v>
      </c>
      <c r="N81" s="3">
        <v>0</v>
      </c>
      <c r="O81" s="3">
        <v>2.9250000000000003</v>
      </c>
      <c r="P81" s="3">
        <v>25.425000000000001</v>
      </c>
      <c r="Q81">
        <v>3</v>
      </c>
    </row>
    <row r="82" spans="1:17" x14ac:dyDescent="0.25">
      <c r="A82" t="s">
        <v>788</v>
      </c>
      <c r="B82" t="s">
        <v>799</v>
      </c>
      <c r="C82" t="s">
        <v>1</v>
      </c>
      <c r="D82" t="s">
        <v>0</v>
      </c>
      <c r="E82">
        <v>18411</v>
      </c>
      <c r="F82" t="s">
        <v>453</v>
      </c>
      <c r="G82" t="s">
        <v>454</v>
      </c>
      <c r="H82" s="3">
        <v>0</v>
      </c>
      <c r="I82" s="3">
        <v>0</v>
      </c>
      <c r="J82" s="3">
        <v>0</v>
      </c>
      <c r="K82" s="3">
        <v>48.6</v>
      </c>
      <c r="L82" s="3">
        <v>0</v>
      </c>
      <c r="M82" s="3">
        <v>0</v>
      </c>
      <c r="N82" s="3">
        <v>0</v>
      </c>
      <c r="O82" s="3">
        <v>6.3180000000000005</v>
      </c>
      <c r="P82" s="3">
        <v>54.917999999999999</v>
      </c>
      <c r="Q82">
        <v>3</v>
      </c>
    </row>
    <row r="83" spans="1:17" x14ac:dyDescent="0.25">
      <c r="A83" t="s">
        <v>788</v>
      </c>
      <c r="B83" t="s">
        <v>794</v>
      </c>
      <c r="C83" t="s">
        <v>1</v>
      </c>
      <c r="D83" t="s">
        <v>0</v>
      </c>
      <c r="E83">
        <v>178408</v>
      </c>
      <c r="F83" t="s">
        <v>425</v>
      </c>
      <c r="G83" t="s">
        <v>426</v>
      </c>
      <c r="H83" s="3">
        <v>2.67</v>
      </c>
      <c r="I83" s="3">
        <v>0</v>
      </c>
      <c r="J83" s="3">
        <v>0</v>
      </c>
      <c r="K83" s="3">
        <v>25.96</v>
      </c>
      <c r="L83" s="3">
        <v>0</v>
      </c>
      <c r="M83" s="3">
        <v>0</v>
      </c>
      <c r="N83" s="3">
        <v>0</v>
      </c>
      <c r="O83" s="3">
        <v>3.3748</v>
      </c>
      <c r="P83" s="3">
        <v>32.004800000000003</v>
      </c>
      <c r="Q83">
        <v>3</v>
      </c>
    </row>
    <row r="84" spans="1:17" x14ac:dyDescent="0.25">
      <c r="A84" t="s">
        <v>788</v>
      </c>
      <c r="B84" t="s">
        <v>790</v>
      </c>
      <c r="C84" t="s">
        <v>1</v>
      </c>
      <c r="D84" t="s">
        <v>0</v>
      </c>
      <c r="E84">
        <v>179739</v>
      </c>
      <c r="F84" t="s">
        <v>425</v>
      </c>
      <c r="G84" t="s">
        <v>426</v>
      </c>
      <c r="H84" s="3">
        <v>2.3600000000000003</v>
      </c>
      <c r="I84" s="3">
        <v>0</v>
      </c>
      <c r="J84" s="3">
        <v>0</v>
      </c>
      <c r="K84" s="3">
        <v>24.81</v>
      </c>
      <c r="L84" s="3">
        <v>0</v>
      </c>
      <c r="M84" s="3">
        <v>0</v>
      </c>
      <c r="N84" s="3">
        <v>0</v>
      </c>
      <c r="O84" s="3">
        <v>3.2252999999999998</v>
      </c>
      <c r="P84" s="3">
        <v>30.395299999999999</v>
      </c>
      <c r="Q84">
        <v>3</v>
      </c>
    </row>
    <row r="85" spans="1:17" x14ac:dyDescent="0.25">
      <c r="A85" t="s">
        <v>788</v>
      </c>
      <c r="B85" t="s">
        <v>790</v>
      </c>
      <c r="C85" t="s">
        <v>1</v>
      </c>
      <c r="D85" t="s">
        <v>0</v>
      </c>
      <c r="E85">
        <v>179083</v>
      </c>
      <c r="F85" t="s">
        <v>425</v>
      </c>
      <c r="G85" t="s">
        <v>426</v>
      </c>
      <c r="H85" s="3">
        <v>1.92</v>
      </c>
      <c r="I85" s="3">
        <v>0</v>
      </c>
      <c r="J85" s="3">
        <v>0</v>
      </c>
      <c r="K85" s="3">
        <v>19.53</v>
      </c>
      <c r="L85" s="3">
        <v>0</v>
      </c>
      <c r="M85" s="3">
        <v>0</v>
      </c>
      <c r="N85" s="3">
        <v>0</v>
      </c>
      <c r="O85" s="3">
        <v>2.5389000000000004</v>
      </c>
      <c r="P85" s="3">
        <v>23.988900000000005</v>
      </c>
      <c r="Q85">
        <v>3</v>
      </c>
    </row>
    <row r="86" spans="1:17" x14ac:dyDescent="0.25">
      <c r="A86" t="s">
        <v>788</v>
      </c>
      <c r="B86" t="s">
        <v>811</v>
      </c>
      <c r="C86" t="s">
        <v>1</v>
      </c>
      <c r="D86" t="s">
        <v>0</v>
      </c>
      <c r="E86">
        <v>14907</v>
      </c>
      <c r="F86" t="s">
        <v>816</v>
      </c>
      <c r="G86" t="s">
        <v>817</v>
      </c>
      <c r="H86" s="3">
        <v>0</v>
      </c>
      <c r="I86" s="3">
        <v>0</v>
      </c>
      <c r="J86" s="3">
        <v>0</v>
      </c>
      <c r="K86" s="3">
        <v>25.64</v>
      </c>
      <c r="L86" s="3">
        <v>0</v>
      </c>
      <c r="M86" s="3">
        <v>0</v>
      </c>
      <c r="N86" s="3">
        <v>0</v>
      </c>
      <c r="O86" s="3">
        <v>3.3332000000000002</v>
      </c>
      <c r="P86" s="3">
        <v>28.973200000000002</v>
      </c>
      <c r="Q86">
        <v>3</v>
      </c>
    </row>
    <row r="87" spans="1:17" x14ac:dyDescent="0.25">
      <c r="A87" t="s">
        <v>788</v>
      </c>
      <c r="B87" t="s">
        <v>813</v>
      </c>
      <c r="C87" t="s">
        <v>1</v>
      </c>
      <c r="D87" t="s">
        <v>0</v>
      </c>
      <c r="E87">
        <v>2806</v>
      </c>
      <c r="F87" t="s">
        <v>816</v>
      </c>
      <c r="G87" t="s">
        <v>817</v>
      </c>
      <c r="H87" s="3">
        <v>0</v>
      </c>
      <c r="I87" s="3">
        <v>0</v>
      </c>
      <c r="J87" s="3">
        <v>0</v>
      </c>
      <c r="K87" s="3">
        <v>10.66</v>
      </c>
      <c r="L87" s="3">
        <v>0</v>
      </c>
      <c r="M87" s="3">
        <v>0</v>
      </c>
      <c r="N87" s="3">
        <v>0</v>
      </c>
      <c r="O87" s="3">
        <v>1.3858000000000001</v>
      </c>
      <c r="P87" s="3">
        <v>12.0458</v>
      </c>
      <c r="Q87">
        <v>3</v>
      </c>
    </row>
    <row r="88" spans="1:17" x14ac:dyDescent="0.25">
      <c r="A88" t="s">
        <v>788</v>
      </c>
      <c r="B88" t="s">
        <v>805</v>
      </c>
      <c r="C88" t="s">
        <v>1</v>
      </c>
      <c r="D88" t="s">
        <v>0</v>
      </c>
      <c r="E88">
        <v>1642011</v>
      </c>
      <c r="F88" t="s">
        <v>127</v>
      </c>
      <c r="G88" t="s">
        <v>128</v>
      </c>
      <c r="H88" s="3">
        <v>0</v>
      </c>
      <c r="I88" s="3">
        <v>0</v>
      </c>
      <c r="J88" s="3">
        <v>0</v>
      </c>
      <c r="K88" s="3">
        <v>13.54</v>
      </c>
      <c r="L88" s="3">
        <v>0</v>
      </c>
      <c r="M88" s="3">
        <v>0</v>
      </c>
      <c r="N88" s="3">
        <v>0</v>
      </c>
      <c r="O88" s="3">
        <v>1.7602</v>
      </c>
      <c r="P88" s="3">
        <v>15.300199999999998</v>
      </c>
      <c r="Q88">
        <v>3</v>
      </c>
    </row>
    <row r="89" spans="1:17" x14ac:dyDescent="0.25">
      <c r="A89" t="s">
        <v>788</v>
      </c>
      <c r="B89" t="s">
        <v>805</v>
      </c>
      <c r="C89" t="s">
        <v>1</v>
      </c>
      <c r="D89" t="s">
        <v>0</v>
      </c>
      <c r="E89">
        <v>1550467</v>
      </c>
      <c r="F89" t="s">
        <v>127</v>
      </c>
      <c r="G89" t="s">
        <v>128</v>
      </c>
      <c r="H89" s="3">
        <v>0</v>
      </c>
      <c r="I89" s="3">
        <v>0</v>
      </c>
      <c r="J89" s="3">
        <v>0</v>
      </c>
      <c r="K89" s="3">
        <v>6.42</v>
      </c>
      <c r="L89" s="3">
        <v>0</v>
      </c>
      <c r="M89" s="3">
        <v>0</v>
      </c>
      <c r="N89" s="3">
        <v>0</v>
      </c>
      <c r="O89" s="3">
        <v>0.83460000000000001</v>
      </c>
      <c r="P89" s="3">
        <v>7.2545999999999999</v>
      </c>
      <c r="Q89">
        <v>3</v>
      </c>
    </row>
    <row r="90" spans="1:17" x14ac:dyDescent="0.25">
      <c r="A90" t="s">
        <v>788</v>
      </c>
      <c r="B90" t="s">
        <v>795</v>
      </c>
      <c r="C90" t="s">
        <v>1</v>
      </c>
      <c r="D90" t="s">
        <v>0</v>
      </c>
      <c r="E90">
        <v>178145</v>
      </c>
      <c r="F90" t="s">
        <v>425</v>
      </c>
      <c r="G90" t="s">
        <v>426</v>
      </c>
      <c r="H90" s="3">
        <v>4.09</v>
      </c>
      <c r="I90" s="3">
        <v>0</v>
      </c>
      <c r="J90" s="3">
        <v>0</v>
      </c>
      <c r="K90" s="3">
        <v>36.18</v>
      </c>
      <c r="L90" s="3">
        <v>0</v>
      </c>
      <c r="M90" s="3">
        <v>0</v>
      </c>
      <c r="N90" s="3">
        <v>0</v>
      </c>
      <c r="O90" s="3">
        <v>4.7034000000000002</v>
      </c>
      <c r="P90" s="3">
        <v>44.973399999999998</v>
      </c>
      <c r="Q90">
        <v>3</v>
      </c>
    </row>
    <row r="91" spans="1:17" x14ac:dyDescent="0.25">
      <c r="A91" t="s">
        <v>788</v>
      </c>
      <c r="B91" t="s">
        <v>794</v>
      </c>
      <c r="C91" t="s">
        <v>1</v>
      </c>
      <c r="D91" t="s">
        <v>0</v>
      </c>
      <c r="E91">
        <v>178374</v>
      </c>
      <c r="F91" t="s">
        <v>425</v>
      </c>
      <c r="G91" t="s">
        <v>426</v>
      </c>
      <c r="H91" s="3">
        <v>6.18</v>
      </c>
      <c r="I91" s="3">
        <v>0</v>
      </c>
      <c r="J91" s="3">
        <v>0</v>
      </c>
      <c r="K91" s="3">
        <v>54.55</v>
      </c>
      <c r="L91" s="3">
        <v>0</v>
      </c>
      <c r="M91" s="3">
        <v>0</v>
      </c>
      <c r="N91" s="3">
        <v>0</v>
      </c>
      <c r="O91" s="3">
        <v>7.0914999999999999</v>
      </c>
      <c r="P91" s="3">
        <v>67.8215</v>
      </c>
      <c r="Q91">
        <v>3</v>
      </c>
    </row>
    <row r="92" spans="1:17" x14ac:dyDescent="0.25">
      <c r="A92" t="s">
        <v>788</v>
      </c>
      <c r="B92" t="s">
        <v>815</v>
      </c>
      <c r="C92" t="s">
        <v>1</v>
      </c>
      <c r="D92" t="s">
        <v>0</v>
      </c>
      <c r="E92">
        <v>178578</v>
      </c>
      <c r="F92" t="s">
        <v>425</v>
      </c>
      <c r="G92" t="s">
        <v>426</v>
      </c>
      <c r="H92" s="3">
        <v>2.0100000000000002</v>
      </c>
      <c r="I92" s="3">
        <v>0</v>
      </c>
      <c r="J92" s="3">
        <v>0</v>
      </c>
      <c r="K92" s="3">
        <v>17.690000000000001</v>
      </c>
      <c r="L92" s="3">
        <v>0</v>
      </c>
      <c r="M92" s="3">
        <v>0</v>
      </c>
      <c r="N92" s="3">
        <v>0</v>
      </c>
      <c r="O92" s="3">
        <v>2.2997000000000001</v>
      </c>
      <c r="P92" s="3">
        <v>21.999700000000004</v>
      </c>
      <c r="Q92">
        <v>3</v>
      </c>
    </row>
    <row r="93" spans="1:17" x14ac:dyDescent="0.25">
      <c r="A93" t="s">
        <v>788</v>
      </c>
      <c r="B93" t="s">
        <v>792</v>
      </c>
      <c r="C93" t="s">
        <v>1</v>
      </c>
      <c r="D93" t="s">
        <v>0</v>
      </c>
      <c r="E93">
        <v>178772</v>
      </c>
      <c r="F93" t="s">
        <v>425</v>
      </c>
      <c r="G93" t="s">
        <v>426</v>
      </c>
      <c r="H93" s="3">
        <v>2.11</v>
      </c>
      <c r="I93" s="3">
        <v>0</v>
      </c>
      <c r="J93" s="3">
        <v>0</v>
      </c>
      <c r="K93" s="3">
        <v>18.63</v>
      </c>
      <c r="L93" s="3">
        <v>0</v>
      </c>
      <c r="M93" s="3">
        <v>0</v>
      </c>
      <c r="N93" s="3">
        <v>0</v>
      </c>
      <c r="O93" s="3">
        <v>2.4218999999999999</v>
      </c>
      <c r="P93" s="3">
        <v>23.161899999999999</v>
      </c>
      <c r="Q93">
        <v>3</v>
      </c>
    </row>
    <row r="94" spans="1:17" x14ac:dyDescent="0.25">
      <c r="A94" t="s">
        <v>788</v>
      </c>
      <c r="B94" t="s">
        <v>791</v>
      </c>
      <c r="C94" t="s">
        <v>1</v>
      </c>
      <c r="D94" t="s">
        <v>0</v>
      </c>
      <c r="E94">
        <v>178974</v>
      </c>
      <c r="F94" t="s">
        <v>425</v>
      </c>
      <c r="G94" t="s">
        <v>426</v>
      </c>
      <c r="H94" s="3">
        <v>5.53</v>
      </c>
      <c r="I94" s="3">
        <v>0</v>
      </c>
      <c r="J94" s="3">
        <v>0</v>
      </c>
      <c r="K94" s="3">
        <v>51.1</v>
      </c>
      <c r="L94" s="3">
        <v>0</v>
      </c>
      <c r="M94" s="3">
        <v>0</v>
      </c>
      <c r="N94" s="3">
        <v>0</v>
      </c>
      <c r="O94" s="3">
        <v>6.6430000000000007</v>
      </c>
      <c r="P94" s="3">
        <v>63.273000000000003</v>
      </c>
      <c r="Q94">
        <v>3</v>
      </c>
    </row>
    <row r="95" spans="1:17" x14ac:dyDescent="0.25">
      <c r="A95" t="s">
        <v>788</v>
      </c>
      <c r="B95" t="s">
        <v>790</v>
      </c>
      <c r="C95" t="s">
        <v>1</v>
      </c>
      <c r="D95" t="s">
        <v>0</v>
      </c>
      <c r="E95">
        <v>179113</v>
      </c>
      <c r="F95" t="s">
        <v>425</v>
      </c>
      <c r="G95" t="s">
        <v>426</v>
      </c>
      <c r="H95" s="3">
        <v>3.5300000000000002</v>
      </c>
      <c r="I95" s="3">
        <v>0</v>
      </c>
      <c r="J95" s="3">
        <v>0</v>
      </c>
      <c r="K95" s="3">
        <v>32.549999999999997</v>
      </c>
      <c r="L95" s="3">
        <v>0</v>
      </c>
      <c r="M95" s="3">
        <v>0</v>
      </c>
      <c r="N95" s="3">
        <v>0</v>
      </c>
      <c r="O95" s="3">
        <v>4.2314999999999996</v>
      </c>
      <c r="P95" s="3">
        <v>40.311499999999995</v>
      </c>
      <c r="Q95">
        <v>3</v>
      </c>
    </row>
    <row r="96" spans="1:17" x14ac:dyDescent="0.25">
      <c r="A96" t="s">
        <v>788</v>
      </c>
      <c r="B96" t="s">
        <v>814</v>
      </c>
      <c r="C96" t="s">
        <v>1</v>
      </c>
      <c r="D96" t="s">
        <v>0</v>
      </c>
      <c r="E96">
        <v>179526</v>
      </c>
      <c r="F96" t="s">
        <v>425</v>
      </c>
      <c r="G96" t="s">
        <v>426</v>
      </c>
      <c r="H96" s="3">
        <v>2.62</v>
      </c>
      <c r="I96" s="3">
        <v>0</v>
      </c>
      <c r="J96" s="3">
        <v>0</v>
      </c>
      <c r="K96" s="3">
        <v>24.22</v>
      </c>
      <c r="L96" s="3">
        <v>0</v>
      </c>
      <c r="M96" s="3">
        <v>0</v>
      </c>
      <c r="N96" s="3">
        <v>0</v>
      </c>
      <c r="O96" s="3">
        <v>3.1486000000000001</v>
      </c>
      <c r="P96" s="3">
        <v>29.988599999999998</v>
      </c>
      <c r="Q96">
        <v>3</v>
      </c>
    </row>
    <row r="97" spans="1:17" x14ac:dyDescent="0.25">
      <c r="A97" t="s">
        <v>788</v>
      </c>
      <c r="B97" t="s">
        <v>814</v>
      </c>
      <c r="C97" t="s">
        <v>1</v>
      </c>
      <c r="D97" t="s">
        <v>0</v>
      </c>
      <c r="E97">
        <v>179548</v>
      </c>
      <c r="F97" t="s">
        <v>425</v>
      </c>
      <c r="G97" t="s">
        <v>426</v>
      </c>
      <c r="H97" s="3">
        <v>4.8899999999999997</v>
      </c>
      <c r="I97" s="3">
        <v>0</v>
      </c>
      <c r="J97" s="3">
        <v>0</v>
      </c>
      <c r="K97" s="3">
        <v>45.14</v>
      </c>
      <c r="L97" s="3">
        <v>0</v>
      </c>
      <c r="M97" s="3">
        <v>0</v>
      </c>
      <c r="N97" s="3">
        <v>0</v>
      </c>
      <c r="O97" s="3">
        <v>5.8681999999999999</v>
      </c>
      <c r="P97" s="3">
        <v>55.898200000000003</v>
      </c>
      <c r="Q97">
        <v>3</v>
      </c>
    </row>
    <row r="98" spans="1:17" x14ac:dyDescent="0.25">
      <c r="A98" t="s">
        <v>788</v>
      </c>
      <c r="B98" t="s">
        <v>809</v>
      </c>
      <c r="C98" t="s">
        <v>1</v>
      </c>
      <c r="D98" t="s">
        <v>0</v>
      </c>
      <c r="E98">
        <v>179699</v>
      </c>
      <c r="F98" t="s">
        <v>425</v>
      </c>
      <c r="G98" t="s">
        <v>426</v>
      </c>
      <c r="H98" s="3">
        <v>2.11</v>
      </c>
      <c r="I98" s="3">
        <v>0</v>
      </c>
      <c r="J98" s="3">
        <v>0</v>
      </c>
      <c r="K98" s="3">
        <v>19.54</v>
      </c>
      <c r="L98" s="3">
        <v>0</v>
      </c>
      <c r="M98" s="3">
        <v>0</v>
      </c>
      <c r="N98" s="3">
        <v>0</v>
      </c>
      <c r="O98" s="3">
        <v>2.5402</v>
      </c>
      <c r="P98" s="3">
        <v>24.190199999999997</v>
      </c>
      <c r="Q98">
        <v>3</v>
      </c>
    </row>
    <row r="99" spans="1:17" x14ac:dyDescent="0.25">
      <c r="A99" t="s">
        <v>788</v>
      </c>
      <c r="B99" t="s">
        <v>813</v>
      </c>
      <c r="C99" t="s">
        <v>1</v>
      </c>
      <c r="D99" t="s">
        <v>0</v>
      </c>
      <c r="E99">
        <v>228502</v>
      </c>
      <c r="F99" t="s">
        <v>425</v>
      </c>
      <c r="G99" t="s">
        <v>426</v>
      </c>
      <c r="H99" s="3">
        <v>3.88</v>
      </c>
      <c r="I99" s="3">
        <v>0</v>
      </c>
      <c r="J99" s="3">
        <v>0</v>
      </c>
      <c r="K99" s="3">
        <v>35.869999999999997</v>
      </c>
      <c r="L99" s="3">
        <v>0</v>
      </c>
      <c r="M99" s="3">
        <v>0</v>
      </c>
      <c r="N99" s="3">
        <v>0</v>
      </c>
      <c r="O99" s="3">
        <v>4.6631</v>
      </c>
      <c r="P99" s="3">
        <v>44.4131</v>
      </c>
      <c r="Q99">
        <v>3</v>
      </c>
    </row>
    <row r="100" spans="1:17" x14ac:dyDescent="0.25">
      <c r="A100" t="s">
        <v>788</v>
      </c>
      <c r="B100" t="s">
        <v>812</v>
      </c>
      <c r="C100" t="s">
        <v>1</v>
      </c>
      <c r="D100" t="s">
        <v>0</v>
      </c>
      <c r="E100">
        <v>228778</v>
      </c>
      <c r="F100" t="s">
        <v>425</v>
      </c>
      <c r="G100" t="s">
        <v>426</v>
      </c>
      <c r="H100" s="3">
        <v>1.92</v>
      </c>
      <c r="I100" s="3">
        <v>0</v>
      </c>
      <c r="J100" s="3">
        <v>0</v>
      </c>
      <c r="K100" s="3">
        <v>17.760000000000002</v>
      </c>
      <c r="L100" s="3">
        <v>0</v>
      </c>
      <c r="M100" s="3">
        <v>0</v>
      </c>
      <c r="N100" s="3">
        <v>0</v>
      </c>
      <c r="O100" s="3">
        <v>2.3088000000000002</v>
      </c>
      <c r="P100" s="3">
        <v>21.988800000000001</v>
      </c>
      <c r="Q100">
        <v>3</v>
      </c>
    </row>
    <row r="101" spans="1:17" x14ac:dyDescent="0.25">
      <c r="A101" t="s">
        <v>788</v>
      </c>
      <c r="B101" t="s">
        <v>811</v>
      </c>
      <c r="C101" t="s">
        <v>1</v>
      </c>
      <c r="D101" t="s">
        <v>0</v>
      </c>
      <c r="E101">
        <v>228937</v>
      </c>
      <c r="F101" t="s">
        <v>425</v>
      </c>
      <c r="G101" t="s">
        <v>426</v>
      </c>
      <c r="H101" s="3">
        <v>3.23</v>
      </c>
      <c r="I101" s="3">
        <v>0</v>
      </c>
      <c r="J101" s="3">
        <v>0</v>
      </c>
      <c r="K101" s="3">
        <v>29.82</v>
      </c>
      <c r="L101" s="3">
        <v>0</v>
      </c>
      <c r="M101" s="3">
        <v>0</v>
      </c>
      <c r="N101" s="3">
        <v>0</v>
      </c>
      <c r="O101" s="3">
        <v>3.8766000000000003</v>
      </c>
      <c r="P101" s="3">
        <v>36.926600000000001</v>
      </c>
      <c r="Q101">
        <v>3</v>
      </c>
    </row>
    <row r="102" spans="1:17" x14ac:dyDescent="0.25">
      <c r="A102" t="s">
        <v>788</v>
      </c>
      <c r="B102" t="s">
        <v>804</v>
      </c>
      <c r="C102" t="s">
        <v>1</v>
      </c>
      <c r="D102" t="s">
        <v>0</v>
      </c>
      <c r="E102">
        <v>229095</v>
      </c>
      <c r="F102" t="s">
        <v>425</v>
      </c>
      <c r="G102" t="s">
        <v>426</v>
      </c>
      <c r="H102" s="3">
        <v>2.06</v>
      </c>
      <c r="I102" s="3">
        <v>0</v>
      </c>
      <c r="J102" s="3">
        <v>0</v>
      </c>
      <c r="K102" s="3">
        <v>19.07</v>
      </c>
      <c r="L102" s="3">
        <v>0</v>
      </c>
      <c r="M102" s="3">
        <v>0</v>
      </c>
      <c r="N102" s="3">
        <v>0</v>
      </c>
      <c r="O102" s="3">
        <v>2.4791000000000003</v>
      </c>
      <c r="P102" s="3">
        <v>23.609099999999998</v>
      </c>
      <c r="Q102">
        <v>3</v>
      </c>
    </row>
    <row r="103" spans="1:17" x14ac:dyDescent="0.25">
      <c r="A103" t="s">
        <v>788</v>
      </c>
      <c r="B103" t="s">
        <v>804</v>
      </c>
      <c r="C103" t="s">
        <v>1</v>
      </c>
      <c r="D103" t="s">
        <v>0</v>
      </c>
      <c r="E103">
        <v>229251</v>
      </c>
      <c r="F103" t="s">
        <v>425</v>
      </c>
      <c r="G103" t="s">
        <v>426</v>
      </c>
      <c r="H103" s="3">
        <v>2.75</v>
      </c>
      <c r="I103" s="3">
        <v>0</v>
      </c>
      <c r="J103" s="3">
        <v>0</v>
      </c>
      <c r="K103" s="3">
        <v>27.15</v>
      </c>
      <c r="L103" s="3">
        <v>0</v>
      </c>
      <c r="M103" s="3">
        <v>0</v>
      </c>
      <c r="N103" s="3">
        <v>0</v>
      </c>
      <c r="O103" s="3">
        <v>3.5295000000000001</v>
      </c>
      <c r="P103" s="3">
        <v>33.429499999999997</v>
      </c>
      <c r="Q103">
        <v>3</v>
      </c>
    </row>
    <row r="104" spans="1:17" x14ac:dyDescent="0.25">
      <c r="A104" t="s">
        <v>788</v>
      </c>
      <c r="B104" t="s">
        <v>802</v>
      </c>
      <c r="C104" t="s">
        <v>1</v>
      </c>
      <c r="D104" t="s">
        <v>0</v>
      </c>
      <c r="E104">
        <v>229691</v>
      </c>
      <c r="F104" t="s">
        <v>425</v>
      </c>
      <c r="G104" t="s">
        <v>426</v>
      </c>
      <c r="H104" s="3">
        <v>1.7799999999999998</v>
      </c>
      <c r="I104" s="3">
        <v>0</v>
      </c>
      <c r="J104" s="3">
        <v>0</v>
      </c>
      <c r="K104" s="3">
        <v>17.66</v>
      </c>
      <c r="L104" s="3">
        <v>0</v>
      </c>
      <c r="M104" s="3">
        <v>0</v>
      </c>
      <c r="N104" s="3">
        <v>0</v>
      </c>
      <c r="O104" s="3">
        <v>2.2958000000000003</v>
      </c>
      <c r="P104" s="3">
        <v>21.735800000000001</v>
      </c>
      <c r="Q104">
        <v>3</v>
      </c>
    </row>
    <row r="105" spans="1:17" x14ac:dyDescent="0.25">
      <c r="A105" t="s">
        <v>788</v>
      </c>
      <c r="B105" t="s">
        <v>801</v>
      </c>
      <c r="C105" t="s">
        <v>1</v>
      </c>
      <c r="D105" t="s">
        <v>0</v>
      </c>
      <c r="E105">
        <v>229822</v>
      </c>
      <c r="F105" t="s">
        <v>425</v>
      </c>
      <c r="G105" t="s">
        <v>426</v>
      </c>
      <c r="H105" s="3">
        <v>3.16</v>
      </c>
      <c r="I105" s="3">
        <v>0</v>
      </c>
      <c r="J105" s="3">
        <v>0</v>
      </c>
      <c r="K105" s="3">
        <v>31.2</v>
      </c>
      <c r="L105" s="3">
        <v>0</v>
      </c>
      <c r="M105" s="3">
        <v>0</v>
      </c>
      <c r="N105" s="3">
        <v>0</v>
      </c>
      <c r="O105" s="3">
        <v>4.056</v>
      </c>
      <c r="P105" s="3">
        <v>38.415999999999997</v>
      </c>
      <c r="Q105">
        <v>3</v>
      </c>
    </row>
    <row r="106" spans="1:17" x14ac:dyDescent="0.25">
      <c r="A106" t="s">
        <v>788</v>
      </c>
      <c r="B106" t="s">
        <v>801</v>
      </c>
      <c r="C106" t="s">
        <v>1</v>
      </c>
      <c r="D106" t="s">
        <v>0</v>
      </c>
      <c r="E106">
        <v>229891</v>
      </c>
      <c r="F106" t="s">
        <v>425</v>
      </c>
      <c r="G106" t="s">
        <v>426</v>
      </c>
      <c r="H106" s="3">
        <v>5.76</v>
      </c>
      <c r="I106" s="3">
        <v>0</v>
      </c>
      <c r="J106" s="3">
        <v>0</v>
      </c>
      <c r="K106" s="3">
        <v>56.84</v>
      </c>
      <c r="L106" s="3">
        <v>0</v>
      </c>
      <c r="M106" s="3">
        <v>0</v>
      </c>
      <c r="N106" s="3">
        <v>0</v>
      </c>
      <c r="O106" s="3">
        <v>7.3892000000000007</v>
      </c>
      <c r="P106" s="3">
        <v>69.989199999999997</v>
      </c>
      <c r="Q106">
        <v>3</v>
      </c>
    </row>
    <row r="107" spans="1:17" x14ac:dyDescent="0.25">
      <c r="A107" t="s">
        <v>788</v>
      </c>
      <c r="B107" t="s">
        <v>810</v>
      </c>
      <c r="C107" t="s">
        <v>1</v>
      </c>
      <c r="D107" t="s">
        <v>0</v>
      </c>
      <c r="E107">
        <v>73631</v>
      </c>
      <c r="F107" t="s">
        <v>418</v>
      </c>
      <c r="G107" t="s">
        <v>419</v>
      </c>
      <c r="H107" s="3">
        <v>11.97</v>
      </c>
      <c r="I107" s="3">
        <v>0</v>
      </c>
      <c r="J107" s="3">
        <v>0</v>
      </c>
      <c r="K107" s="3">
        <v>110.58</v>
      </c>
      <c r="L107" s="3">
        <v>0</v>
      </c>
      <c r="M107" s="3">
        <v>0</v>
      </c>
      <c r="N107" s="3">
        <v>0</v>
      </c>
      <c r="O107" s="3">
        <v>14.375400000000001</v>
      </c>
      <c r="P107" s="3">
        <v>136.9254</v>
      </c>
      <c r="Q107">
        <v>3</v>
      </c>
    </row>
    <row r="108" spans="1:17" x14ac:dyDescent="0.25">
      <c r="A108" t="s">
        <v>788</v>
      </c>
      <c r="B108" t="s">
        <v>809</v>
      </c>
      <c r="C108" t="s">
        <v>1</v>
      </c>
      <c r="D108" t="s">
        <v>0</v>
      </c>
      <c r="E108">
        <v>73787</v>
      </c>
      <c r="F108" t="s">
        <v>418</v>
      </c>
      <c r="G108" t="s">
        <v>419</v>
      </c>
      <c r="H108" s="3">
        <v>1.57</v>
      </c>
      <c r="I108" s="3">
        <v>0</v>
      </c>
      <c r="J108" s="3">
        <v>0</v>
      </c>
      <c r="K108" s="3">
        <v>14.54</v>
      </c>
      <c r="L108" s="3">
        <v>0</v>
      </c>
      <c r="M108" s="3">
        <v>0</v>
      </c>
      <c r="N108" s="3">
        <v>0</v>
      </c>
      <c r="O108" s="3">
        <v>1.8901999999999999</v>
      </c>
      <c r="P108" s="3">
        <v>18.0002</v>
      </c>
      <c r="Q108">
        <v>3</v>
      </c>
    </row>
    <row r="109" spans="1:17" x14ac:dyDescent="0.25">
      <c r="A109" t="s">
        <v>788</v>
      </c>
      <c r="B109" t="s">
        <v>808</v>
      </c>
      <c r="C109" t="s">
        <v>1</v>
      </c>
      <c r="D109" t="s">
        <v>0</v>
      </c>
      <c r="E109">
        <v>74122</v>
      </c>
      <c r="F109" t="s">
        <v>418</v>
      </c>
      <c r="G109" t="s">
        <v>419</v>
      </c>
      <c r="H109" s="3">
        <v>11.459999999999999</v>
      </c>
      <c r="I109" s="3">
        <v>0</v>
      </c>
      <c r="J109" s="3">
        <v>0</v>
      </c>
      <c r="K109" s="3">
        <v>105.79</v>
      </c>
      <c r="L109" s="3">
        <v>0</v>
      </c>
      <c r="M109" s="3">
        <v>0</v>
      </c>
      <c r="N109" s="3">
        <v>0</v>
      </c>
      <c r="O109" s="3">
        <v>13.752700000000001</v>
      </c>
      <c r="P109" s="3">
        <v>131.0027</v>
      </c>
      <c r="Q109">
        <v>3</v>
      </c>
    </row>
    <row r="110" spans="1:17" x14ac:dyDescent="0.25">
      <c r="A110" t="s">
        <v>788</v>
      </c>
      <c r="B110" t="s">
        <v>807</v>
      </c>
      <c r="C110" t="s">
        <v>1</v>
      </c>
      <c r="D110" t="s">
        <v>0</v>
      </c>
      <c r="E110">
        <v>74421</v>
      </c>
      <c r="F110" t="s">
        <v>418</v>
      </c>
      <c r="G110" t="s">
        <v>419</v>
      </c>
      <c r="H110" s="3">
        <v>13.120000000000001</v>
      </c>
      <c r="I110" s="3">
        <v>0</v>
      </c>
      <c r="J110" s="3">
        <v>0</v>
      </c>
      <c r="K110" s="3">
        <v>121.13</v>
      </c>
      <c r="L110" s="3">
        <v>0</v>
      </c>
      <c r="M110" s="3">
        <v>0</v>
      </c>
      <c r="N110" s="3">
        <v>0</v>
      </c>
      <c r="O110" s="3">
        <v>15.7469</v>
      </c>
      <c r="P110" s="3">
        <v>149.99690000000001</v>
      </c>
      <c r="Q110">
        <v>3</v>
      </c>
    </row>
    <row r="111" spans="1:17" x14ac:dyDescent="0.25">
      <c r="A111" t="s">
        <v>788</v>
      </c>
      <c r="B111" t="s">
        <v>807</v>
      </c>
      <c r="C111" t="s">
        <v>1</v>
      </c>
      <c r="D111" t="s">
        <v>0</v>
      </c>
      <c r="E111">
        <v>74629</v>
      </c>
      <c r="F111" t="s">
        <v>418</v>
      </c>
      <c r="G111" t="s">
        <v>419</v>
      </c>
      <c r="H111" s="3">
        <v>11.25</v>
      </c>
      <c r="I111" s="3">
        <v>0</v>
      </c>
      <c r="J111" s="3">
        <v>0</v>
      </c>
      <c r="K111" s="3">
        <v>103.8</v>
      </c>
      <c r="L111" s="3">
        <v>0</v>
      </c>
      <c r="M111" s="3">
        <v>0</v>
      </c>
      <c r="N111" s="3">
        <v>0</v>
      </c>
      <c r="O111" s="3">
        <v>13.494</v>
      </c>
      <c r="P111" s="3">
        <v>128.54399999999998</v>
      </c>
      <c r="Q111">
        <v>3</v>
      </c>
    </row>
    <row r="112" spans="1:17" x14ac:dyDescent="0.25">
      <c r="A112" t="s">
        <v>788</v>
      </c>
      <c r="B112" t="s">
        <v>806</v>
      </c>
      <c r="C112" t="s">
        <v>1</v>
      </c>
      <c r="D112" t="s">
        <v>0</v>
      </c>
      <c r="E112">
        <v>75180</v>
      </c>
      <c r="F112" t="s">
        <v>418</v>
      </c>
      <c r="G112" t="s">
        <v>419</v>
      </c>
      <c r="H112" s="3">
        <v>11.73</v>
      </c>
      <c r="I112" s="3">
        <v>0</v>
      </c>
      <c r="J112" s="3">
        <v>0</v>
      </c>
      <c r="K112" s="3">
        <v>108.32</v>
      </c>
      <c r="L112" s="3">
        <v>0</v>
      </c>
      <c r="M112" s="3">
        <v>0</v>
      </c>
      <c r="N112" s="3">
        <v>0</v>
      </c>
      <c r="O112" s="3">
        <v>14.0816</v>
      </c>
      <c r="P112" s="3">
        <v>134.13159999999999</v>
      </c>
      <c r="Q112">
        <v>3</v>
      </c>
    </row>
    <row r="113" spans="1:17" x14ac:dyDescent="0.25">
      <c r="A113" t="s">
        <v>788</v>
      </c>
      <c r="B113" t="s">
        <v>805</v>
      </c>
      <c r="C113" t="s">
        <v>1</v>
      </c>
      <c r="D113" t="s">
        <v>0</v>
      </c>
      <c r="E113">
        <v>75240</v>
      </c>
      <c r="F113" t="s">
        <v>418</v>
      </c>
      <c r="G113" t="s">
        <v>419</v>
      </c>
      <c r="H113" s="3">
        <v>9.3500000000000014</v>
      </c>
      <c r="I113" s="3">
        <v>0</v>
      </c>
      <c r="J113" s="3">
        <v>0</v>
      </c>
      <c r="K113" s="3">
        <v>86.31</v>
      </c>
      <c r="L113" s="3">
        <v>0</v>
      </c>
      <c r="M113" s="3">
        <v>0</v>
      </c>
      <c r="N113" s="3">
        <v>0</v>
      </c>
      <c r="O113" s="3">
        <v>11.2203</v>
      </c>
      <c r="P113" s="3">
        <v>106.88029999999999</v>
      </c>
      <c r="Q113">
        <v>3</v>
      </c>
    </row>
    <row r="114" spans="1:17" x14ac:dyDescent="0.25">
      <c r="A114" t="s">
        <v>788</v>
      </c>
      <c r="B114" t="s">
        <v>804</v>
      </c>
      <c r="C114" t="s">
        <v>1</v>
      </c>
      <c r="D114" t="s">
        <v>0</v>
      </c>
      <c r="E114">
        <v>75677</v>
      </c>
      <c r="F114" t="s">
        <v>418</v>
      </c>
      <c r="G114" t="s">
        <v>419</v>
      </c>
      <c r="H114" s="3">
        <v>2.0999999999999996</v>
      </c>
      <c r="I114" s="3">
        <v>0</v>
      </c>
      <c r="J114" s="3">
        <v>0</v>
      </c>
      <c r="K114" s="3">
        <v>20.79</v>
      </c>
      <c r="L114" s="3">
        <v>0</v>
      </c>
      <c r="M114" s="3">
        <v>0</v>
      </c>
      <c r="N114" s="3">
        <v>0</v>
      </c>
      <c r="O114" s="3">
        <v>2.7027000000000001</v>
      </c>
      <c r="P114" s="3">
        <v>25.592700000000001</v>
      </c>
      <c r="Q114">
        <v>3</v>
      </c>
    </row>
    <row r="115" spans="1:17" x14ac:dyDescent="0.25">
      <c r="A115" t="s">
        <v>788</v>
      </c>
      <c r="B115" t="s">
        <v>804</v>
      </c>
      <c r="C115" t="s">
        <v>1</v>
      </c>
      <c r="D115" t="s">
        <v>0</v>
      </c>
      <c r="E115">
        <v>75767</v>
      </c>
      <c r="F115" t="s">
        <v>418</v>
      </c>
      <c r="G115" t="s">
        <v>419</v>
      </c>
      <c r="H115" s="3">
        <v>10.89</v>
      </c>
      <c r="I115" s="3">
        <v>0</v>
      </c>
      <c r="J115" s="3">
        <v>0</v>
      </c>
      <c r="K115" s="3">
        <v>107.3</v>
      </c>
      <c r="L115" s="3">
        <v>0</v>
      </c>
      <c r="M115" s="3">
        <v>0</v>
      </c>
      <c r="N115" s="3">
        <v>0</v>
      </c>
      <c r="O115" s="3">
        <v>13.949</v>
      </c>
      <c r="P115" s="3">
        <v>132.13900000000001</v>
      </c>
      <c r="Q115">
        <v>3</v>
      </c>
    </row>
    <row r="116" spans="1:17" x14ac:dyDescent="0.25">
      <c r="A116" t="s">
        <v>788</v>
      </c>
      <c r="B116" t="s">
        <v>803</v>
      </c>
      <c r="C116" t="s">
        <v>1</v>
      </c>
      <c r="D116" t="s">
        <v>0</v>
      </c>
      <c r="E116">
        <v>76298</v>
      </c>
      <c r="F116" t="s">
        <v>418</v>
      </c>
      <c r="G116" t="s">
        <v>419</v>
      </c>
      <c r="H116" s="3">
        <v>6.47</v>
      </c>
      <c r="I116" s="3">
        <v>0</v>
      </c>
      <c r="J116" s="3">
        <v>0</v>
      </c>
      <c r="K116" s="3">
        <v>63.74</v>
      </c>
      <c r="L116" s="3">
        <v>0</v>
      </c>
      <c r="M116" s="3">
        <v>0</v>
      </c>
      <c r="N116" s="3">
        <v>0</v>
      </c>
      <c r="O116" s="3">
        <v>8.2862000000000009</v>
      </c>
      <c r="P116" s="3">
        <v>78.496200000000016</v>
      </c>
      <c r="Q116">
        <v>3</v>
      </c>
    </row>
    <row r="117" spans="1:17" x14ac:dyDescent="0.25">
      <c r="A117" t="s">
        <v>788</v>
      </c>
      <c r="B117" t="s">
        <v>802</v>
      </c>
      <c r="C117" t="s">
        <v>1</v>
      </c>
      <c r="D117" t="s">
        <v>0</v>
      </c>
      <c r="E117">
        <v>76440</v>
      </c>
      <c r="F117" t="s">
        <v>418</v>
      </c>
      <c r="G117" t="s">
        <v>419</v>
      </c>
      <c r="H117" s="3">
        <v>11.5</v>
      </c>
      <c r="I117" s="3">
        <v>0</v>
      </c>
      <c r="J117" s="3">
        <v>0</v>
      </c>
      <c r="K117" s="3">
        <v>113.34</v>
      </c>
      <c r="L117" s="3">
        <v>0</v>
      </c>
      <c r="M117" s="3">
        <v>0</v>
      </c>
      <c r="N117" s="3">
        <v>0</v>
      </c>
      <c r="O117" s="3">
        <v>14.734200000000001</v>
      </c>
      <c r="P117" s="3">
        <v>139.57420000000002</v>
      </c>
      <c r="Q117">
        <v>3</v>
      </c>
    </row>
    <row r="118" spans="1:17" x14ac:dyDescent="0.25">
      <c r="A118" t="s">
        <v>788</v>
      </c>
      <c r="B118" t="s">
        <v>801</v>
      </c>
      <c r="C118" t="s">
        <v>1</v>
      </c>
      <c r="D118" t="s">
        <v>0</v>
      </c>
      <c r="E118">
        <v>76696</v>
      </c>
      <c r="F118" t="s">
        <v>418</v>
      </c>
      <c r="G118" t="s">
        <v>419</v>
      </c>
      <c r="H118" s="3">
        <v>14.04</v>
      </c>
      <c r="I118" s="3">
        <v>0</v>
      </c>
      <c r="J118" s="3">
        <v>0</v>
      </c>
      <c r="K118" s="3">
        <v>138.47</v>
      </c>
      <c r="L118" s="3">
        <v>0</v>
      </c>
      <c r="M118" s="3">
        <v>0</v>
      </c>
      <c r="N118" s="3">
        <v>0</v>
      </c>
      <c r="O118" s="3">
        <v>18.001100000000001</v>
      </c>
      <c r="P118" s="3">
        <v>170.5111</v>
      </c>
      <c r="Q118">
        <v>3</v>
      </c>
    </row>
    <row r="119" spans="1:17" x14ac:dyDescent="0.25">
      <c r="A119" t="s">
        <v>788</v>
      </c>
      <c r="B119" t="s">
        <v>800</v>
      </c>
      <c r="C119" t="s">
        <v>1</v>
      </c>
      <c r="D119" t="s">
        <v>0</v>
      </c>
      <c r="E119">
        <v>76941</v>
      </c>
      <c r="F119" t="s">
        <v>418</v>
      </c>
      <c r="G119" t="s">
        <v>419</v>
      </c>
      <c r="H119" s="3">
        <v>10.379999999999999</v>
      </c>
      <c r="I119" s="3">
        <v>0</v>
      </c>
      <c r="J119" s="3">
        <v>0</v>
      </c>
      <c r="K119" s="3">
        <v>102.33</v>
      </c>
      <c r="L119" s="3">
        <v>0</v>
      </c>
      <c r="M119" s="3">
        <v>0</v>
      </c>
      <c r="N119" s="3">
        <v>0</v>
      </c>
      <c r="O119" s="3">
        <v>13.302900000000001</v>
      </c>
      <c r="P119" s="3">
        <v>126.0129</v>
      </c>
      <c r="Q119">
        <v>3</v>
      </c>
    </row>
    <row r="120" spans="1:17" x14ac:dyDescent="0.25">
      <c r="A120" t="s">
        <v>788</v>
      </c>
      <c r="B120" t="s">
        <v>799</v>
      </c>
      <c r="C120" t="s">
        <v>1</v>
      </c>
      <c r="D120" t="s">
        <v>0</v>
      </c>
      <c r="E120">
        <v>77109</v>
      </c>
      <c r="F120" t="s">
        <v>418</v>
      </c>
      <c r="G120" t="s">
        <v>419</v>
      </c>
      <c r="H120" s="3">
        <v>2.06</v>
      </c>
      <c r="I120" s="3">
        <v>0</v>
      </c>
      <c r="J120" s="3">
        <v>0</v>
      </c>
      <c r="K120" s="3">
        <v>20.3</v>
      </c>
      <c r="L120" s="3">
        <v>0</v>
      </c>
      <c r="M120" s="3">
        <v>0</v>
      </c>
      <c r="N120" s="3">
        <v>0</v>
      </c>
      <c r="O120" s="3">
        <v>2.6390000000000002</v>
      </c>
      <c r="P120" s="3">
        <v>24.998999999999999</v>
      </c>
      <c r="Q120">
        <v>3</v>
      </c>
    </row>
    <row r="121" spans="1:17" x14ac:dyDescent="0.25">
      <c r="A121" t="s">
        <v>788</v>
      </c>
      <c r="B121" t="s">
        <v>798</v>
      </c>
      <c r="C121" t="s">
        <v>1</v>
      </c>
      <c r="D121" t="s">
        <v>0</v>
      </c>
      <c r="E121">
        <v>70426</v>
      </c>
      <c r="F121" t="s">
        <v>418</v>
      </c>
      <c r="G121" t="s">
        <v>419</v>
      </c>
      <c r="H121" s="3">
        <v>10.209999999999999</v>
      </c>
      <c r="I121" s="3">
        <v>0</v>
      </c>
      <c r="J121" s="3">
        <v>0</v>
      </c>
      <c r="K121" s="3">
        <v>90.08</v>
      </c>
      <c r="L121" s="3">
        <v>0</v>
      </c>
      <c r="M121" s="3">
        <v>0</v>
      </c>
      <c r="N121" s="3">
        <v>0</v>
      </c>
      <c r="O121" s="3">
        <v>11.7104</v>
      </c>
      <c r="P121" s="3">
        <v>112.00039999999998</v>
      </c>
      <c r="Q121">
        <v>3</v>
      </c>
    </row>
    <row r="122" spans="1:17" x14ac:dyDescent="0.25">
      <c r="A122" t="s">
        <v>788</v>
      </c>
      <c r="B122" t="s">
        <v>797</v>
      </c>
      <c r="C122" t="s">
        <v>1</v>
      </c>
      <c r="D122" t="s">
        <v>0</v>
      </c>
      <c r="E122">
        <v>70588</v>
      </c>
      <c r="F122" t="s">
        <v>418</v>
      </c>
      <c r="G122" t="s">
        <v>419</v>
      </c>
      <c r="H122" s="3">
        <v>10.91</v>
      </c>
      <c r="I122" s="3">
        <v>0</v>
      </c>
      <c r="J122" s="3">
        <v>0</v>
      </c>
      <c r="K122" s="3">
        <v>96.25</v>
      </c>
      <c r="L122" s="3">
        <v>0</v>
      </c>
      <c r="M122" s="3">
        <v>0</v>
      </c>
      <c r="N122" s="3">
        <v>0</v>
      </c>
      <c r="O122" s="3">
        <v>12.512500000000001</v>
      </c>
      <c r="P122" s="3">
        <v>119.6725</v>
      </c>
      <c r="Q122">
        <v>3</v>
      </c>
    </row>
    <row r="123" spans="1:17" x14ac:dyDescent="0.25">
      <c r="A123" t="s">
        <v>788</v>
      </c>
      <c r="B123" t="s">
        <v>796</v>
      </c>
      <c r="C123" t="s">
        <v>1</v>
      </c>
      <c r="D123" t="s">
        <v>0</v>
      </c>
      <c r="E123">
        <v>70917</v>
      </c>
      <c r="F123" t="s">
        <v>418</v>
      </c>
      <c r="G123" t="s">
        <v>419</v>
      </c>
      <c r="H123" s="3">
        <v>9.66</v>
      </c>
      <c r="I123" s="3">
        <v>0</v>
      </c>
      <c r="J123" s="3">
        <v>0</v>
      </c>
      <c r="K123" s="3">
        <v>85.25</v>
      </c>
      <c r="L123" s="3">
        <v>0</v>
      </c>
      <c r="M123" s="3">
        <v>0</v>
      </c>
      <c r="N123" s="3">
        <v>0</v>
      </c>
      <c r="O123" s="3">
        <v>11.0825</v>
      </c>
      <c r="P123" s="3">
        <v>105.99249999999999</v>
      </c>
      <c r="Q123">
        <v>3</v>
      </c>
    </row>
    <row r="124" spans="1:17" x14ac:dyDescent="0.25">
      <c r="A124" t="s">
        <v>788</v>
      </c>
      <c r="B124" t="s">
        <v>795</v>
      </c>
      <c r="C124" t="s">
        <v>1</v>
      </c>
      <c r="D124" t="s">
        <v>0</v>
      </c>
      <c r="E124">
        <v>71036</v>
      </c>
      <c r="F124" t="s">
        <v>418</v>
      </c>
      <c r="G124" t="s">
        <v>419</v>
      </c>
      <c r="H124" s="3">
        <v>1.28</v>
      </c>
      <c r="I124" s="3">
        <v>0</v>
      </c>
      <c r="J124" s="3">
        <v>0</v>
      </c>
      <c r="K124" s="3">
        <v>11.26</v>
      </c>
      <c r="L124" s="3">
        <v>0</v>
      </c>
      <c r="M124" s="3">
        <v>0</v>
      </c>
      <c r="N124" s="3">
        <v>0</v>
      </c>
      <c r="O124" s="3">
        <v>1.4638</v>
      </c>
      <c r="P124" s="3">
        <v>14.003799999999998</v>
      </c>
      <c r="Q124">
        <v>3</v>
      </c>
    </row>
    <row r="125" spans="1:17" x14ac:dyDescent="0.25">
      <c r="A125" t="s">
        <v>788</v>
      </c>
      <c r="B125" t="s">
        <v>794</v>
      </c>
      <c r="C125" t="s">
        <v>1</v>
      </c>
      <c r="D125" t="s">
        <v>0</v>
      </c>
      <c r="E125">
        <v>71283</v>
      </c>
      <c r="F125" t="s">
        <v>418</v>
      </c>
      <c r="G125" t="s">
        <v>419</v>
      </c>
      <c r="H125" s="3">
        <v>8.9600000000000009</v>
      </c>
      <c r="I125" s="3">
        <v>0</v>
      </c>
      <c r="J125" s="3">
        <v>0</v>
      </c>
      <c r="K125" s="3">
        <v>79</v>
      </c>
      <c r="L125" s="3">
        <v>0</v>
      </c>
      <c r="M125" s="3">
        <v>0</v>
      </c>
      <c r="N125" s="3">
        <v>0</v>
      </c>
      <c r="O125" s="3">
        <v>10.27</v>
      </c>
      <c r="P125" s="3">
        <v>98.23</v>
      </c>
      <c r="Q125">
        <v>3</v>
      </c>
    </row>
    <row r="126" spans="1:17" x14ac:dyDescent="0.25">
      <c r="A126" t="s">
        <v>788</v>
      </c>
      <c r="B126" t="s">
        <v>794</v>
      </c>
      <c r="C126" t="s">
        <v>1</v>
      </c>
      <c r="D126" t="s">
        <v>0</v>
      </c>
      <c r="E126">
        <v>71416</v>
      </c>
      <c r="F126" t="s">
        <v>418</v>
      </c>
      <c r="G126" t="s">
        <v>419</v>
      </c>
      <c r="H126" s="3">
        <v>9.81</v>
      </c>
      <c r="I126" s="3">
        <v>0</v>
      </c>
      <c r="J126" s="3">
        <v>0</v>
      </c>
      <c r="K126" s="3">
        <v>86.56</v>
      </c>
      <c r="L126" s="3">
        <v>0</v>
      </c>
      <c r="M126" s="3">
        <v>0</v>
      </c>
      <c r="N126" s="3">
        <v>0</v>
      </c>
      <c r="O126" s="3">
        <v>11.252800000000001</v>
      </c>
      <c r="P126" s="3">
        <v>107.62280000000001</v>
      </c>
      <c r="Q126">
        <v>3</v>
      </c>
    </row>
    <row r="127" spans="1:17" x14ac:dyDescent="0.25">
      <c r="A127" t="s">
        <v>788</v>
      </c>
      <c r="B127" t="s">
        <v>793</v>
      </c>
      <c r="C127" t="s">
        <v>1</v>
      </c>
      <c r="D127" t="s">
        <v>0</v>
      </c>
      <c r="E127">
        <v>72005</v>
      </c>
      <c r="F127" t="s">
        <v>418</v>
      </c>
      <c r="G127" t="s">
        <v>419</v>
      </c>
      <c r="H127" s="3">
        <v>9.57</v>
      </c>
      <c r="I127" s="3">
        <v>0</v>
      </c>
      <c r="J127" s="3">
        <v>0</v>
      </c>
      <c r="K127" s="3">
        <v>84.46</v>
      </c>
      <c r="L127" s="3">
        <v>0</v>
      </c>
      <c r="M127" s="3">
        <v>0</v>
      </c>
      <c r="N127" s="3">
        <v>0</v>
      </c>
      <c r="O127" s="3">
        <v>10.979799999999999</v>
      </c>
      <c r="P127" s="3">
        <v>105.0098</v>
      </c>
      <c r="Q127">
        <v>3</v>
      </c>
    </row>
    <row r="128" spans="1:17" x14ac:dyDescent="0.25">
      <c r="A128" t="s">
        <v>788</v>
      </c>
      <c r="B128" t="s">
        <v>792</v>
      </c>
      <c r="C128" t="s">
        <v>1</v>
      </c>
      <c r="D128" t="s">
        <v>0</v>
      </c>
      <c r="E128">
        <v>72145</v>
      </c>
      <c r="F128" t="s">
        <v>418</v>
      </c>
      <c r="G128" t="s">
        <v>419</v>
      </c>
      <c r="H128" s="3">
        <v>9.92</v>
      </c>
      <c r="I128" s="3">
        <v>0</v>
      </c>
      <c r="J128" s="3">
        <v>0</v>
      </c>
      <c r="K128" s="3">
        <v>87.48</v>
      </c>
      <c r="L128" s="3">
        <v>0</v>
      </c>
      <c r="M128" s="3">
        <v>0</v>
      </c>
      <c r="N128" s="3">
        <v>0</v>
      </c>
      <c r="O128" s="3">
        <v>11.372400000000001</v>
      </c>
      <c r="P128" s="3">
        <v>108.7724</v>
      </c>
      <c r="Q128">
        <v>3</v>
      </c>
    </row>
    <row r="129" spans="1:17" x14ac:dyDescent="0.25">
      <c r="A129" t="s">
        <v>788</v>
      </c>
      <c r="B129" t="s">
        <v>791</v>
      </c>
      <c r="C129" t="s">
        <v>1</v>
      </c>
      <c r="D129" t="s">
        <v>0</v>
      </c>
      <c r="E129">
        <v>72445</v>
      </c>
      <c r="F129" t="s">
        <v>418</v>
      </c>
      <c r="G129" t="s">
        <v>419</v>
      </c>
      <c r="H129" s="3">
        <v>1.05</v>
      </c>
      <c r="I129" s="3">
        <v>0</v>
      </c>
      <c r="J129" s="3">
        <v>0</v>
      </c>
      <c r="K129" s="3">
        <v>10.58</v>
      </c>
      <c r="L129" s="3">
        <v>0</v>
      </c>
      <c r="M129" s="3">
        <v>0</v>
      </c>
      <c r="N129" s="3">
        <v>0</v>
      </c>
      <c r="O129" s="3">
        <v>1.3754</v>
      </c>
      <c r="P129" s="3">
        <v>13.005400000000002</v>
      </c>
      <c r="Q129">
        <v>3</v>
      </c>
    </row>
    <row r="130" spans="1:17" x14ac:dyDescent="0.25">
      <c r="A130" t="s">
        <v>788</v>
      </c>
      <c r="B130" t="s">
        <v>791</v>
      </c>
      <c r="C130" t="s">
        <v>1</v>
      </c>
      <c r="D130" t="s">
        <v>0</v>
      </c>
      <c r="E130">
        <v>72539</v>
      </c>
      <c r="F130" t="s">
        <v>418</v>
      </c>
      <c r="G130" t="s">
        <v>419</v>
      </c>
      <c r="H130" s="3">
        <v>11.11</v>
      </c>
      <c r="I130" s="3">
        <v>0</v>
      </c>
      <c r="J130" s="3">
        <v>0</v>
      </c>
      <c r="K130" s="3">
        <v>102.59</v>
      </c>
      <c r="L130" s="3">
        <v>0</v>
      </c>
      <c r="M130" s="3">
        <v>0</v>
      </c>
      <c r="N130" s="3">
        <v>0</v>
      </c>
      <c r="O130" s="3">
        <v>13.3367</v>
      </c>
      <c r="P130" s="3">
        <v>127.0367</v>
      </c>
      <c r="Q130">
        <v>3</v>
      </c>
    </row>
    <row r="131" spans="1:17" x14ac:dyDescent="0.25">
      <c r="A131" t="s">
        <v>788</v>
      </c>
      <c r="B131" t="s">
        <v>790</v>
      </c>
      <c r="C131" t="s">
        <v>1</v>
      </c>
      <c r="D131" t="s">
        <v>0</v>
      </c>
      <c r="E131">
        <v>72662</v>
      </c>
      <c r="F131" t="s">
        <v>418</v>
      </c>
      <c r="G131" t="s">
        <v>419</v>
      </c>
      <c r="H131" s="3">
        <v>9.93</v>
      </c>
      <c r="I131" s="3">
        <v>0</v>
      </c>
      <c r="J131" s="3">
        <v>0</v>
      </c>
      <c r="K131" s="3">
        <v>91.71</v>
      </c>
      <c r="L131" s="3">
        <v>0</v>
      </c>
      <c r="M131" s="3">
        <v>0</v>
      </c>
      <c r="N131" s="3">
        <v>0</v>
      </c>
      <c r="O131" s="3">
        <v>11.9223</v>
      </c>
      <c r="P131" s="3">
        <v>113.56229999999999</v>
      </c>
      <c r="Q131">
        <v>3</v>
      </c>
    </row>
    <row r="132" spans="1:17" x14ac:dyDescent="0.25">
      <c r="A132" t="s">
        <v>788</v>
      </c>
      <c r="B132" t="s">
        <v>789</v>
      </c>
      <c r="C132" t="s">
        <v>1</v>
      </c>
      <c r="D132" t="s">
        <v>0</v>
      </c>
      <c r="E132">
        <v>73019</v>
      </c>
      <c r="F132" t="s">
        <v>418</v>
      </c>
      <c r="G132" t="s">
        <v>419</v>
      </c>
      <c r="H132" s="3">
        <v>5.13</v>
      </c>
      <c r="I132" s="3">
        <v>0</v>
      </c>
      <c r="J132" s="3">
        <v>0</v>
      </c>
      <c r="K132" s="3">
        <v>47.42</v>
      </c>
      <c r="L132" s="3">
        <v>0</v>
      </c>
      <c r="M132" s="3">
        <v>0</v>
      </c>
      <c r="N132" s="3">
        <v>0</v>
      </c>
      <c r="O132" s="3">
        <v>6.1646000000000001</v>
      </c>
      <c r="P132" s="3">
        <v>58.714600000000004</v>
      </c>
      <c r="Q132">
        <v>3</v>
      </c>
    </row>
    <row r="133" spans="1:17" x14ac:dyDescent="0.25">
      <c r="A133" t="s">
        <v>788</v>
      </c>
      <c r="B133" t="s">
        <v>787</v>
      </c>
      <c r="C133" t="s">
        <v>1</v>
      </c>
      <c r="D133" t="s">
        <v>0</v>
      </c>
      <c r="E133">
        <v>73131</v>
      </c>
      <c r="F133" t="s">
        <v>418</v>
      </c>
      <c r="G133" t="s">
        <v>419</v>
      </c>
      <c r="H133" s="3">
        <v>11.34</v>
      </c>
      <c r="I133" s="3">
        <v>0</v>
      </c>
      <c r="J133" s="3">
        <v>0</v>
      </c>
      <c r="K133" s="3">
        <v>104.77</v>
      </c>
      <c r="L133" s="3">
        <v>0</v>
      </c>
      <c r="M133" s="3">
        <v>0</v>
      </c>
      <c r="N133" s="3">
        <v>0</v>
      </c>
      <c r="O133" s="3">
        <v>13.620100000000001</v>
      </c>
      <c r="P133" s="3">
        <v>129.73009999999999</v>
      </c>
      <c r="Q133">
        <v>3</v>
      </c>
    </row>
    <row r="134" spans="1:17" x14ac:dyDescent="0.25">
      <c r="A134" t="s">
        <v>744</v>
      </c>
      <c r="B134" t="s">
        <v>745</v>
      </c>
      <c r="C134" t="s">
        <v>1</v>
      </c>
      <c r="D134" t="s">
        <v>0</v>
      </c>
      <c r="E134">
        <v>246</v>
      </c>
      <c r="F134" t="s">
        <v>672</v>
      </c>
      <c r="G134" t="s">
        <v>673</v>
      </c>
      <c r="H134" s="3">
        <v>0</v>
      </c>
      <c r="I134" s="3">
        <v>0</v>
      </c>
      <c r="J134" s="3">
        <v>0</v>
      </c>
      <c r="K134" s="3">
        <v>154.87</v>
      </c>
      <c r="L134" s="3">
        <v>0</v>
      </c>
      <c r="M134" s="3">
        <v>0</v>
      </c>
      <c r="N134" s="3">
        <v>0</v>
      </c>
      <c r="O134" s="3">
        <v>20.133100000000002</v>
      </c>
      <c r="P134" s="3">
        <v>175.00310000000002</v>
      </c>
      <c r="Q134">
        <v>3</v>
      </c>
    </row>
    <row r="135" spans="1:17" x14ac:dyDescent="0.25">
      <c r="A135" t="s">
        <v>744</v>
      </c>
      <c r="B135" t="s">
        <v>745</v>
      </c>
      <c r="C135" t="s">
        <v>1</v>
      </c>
      <c r="D135" t="s">
        <v>0</v>
      </c>
      <c r="E135">
        <v>1748</v>
      </c>
      <c r="F135" t="s">
        <v>475</v>
      </c>
      <c r="G135" t="s">
        <v>476</v>
      </c>
      <c r="H135" s="3">
        <v>0</v>
      </c>
      <c r="I135" s="3">
        <v>0</v>
      </c>
      <c r="J135" s="3">
        <v>0</v>
      </c>
      <c r="K135" s="3">
        <v>80.87</v>
      </c>
      <c r="L135" s="3">
        <v>0</v>
      </c>
      <c r="M135" s="3">
        <v>0</v>
      </c>
      <c r="N135" s="3">
        <v>0</v>
      </c>
      <c r="O135" s="3">
        <v>10.513100000000001</v>
      </c>
      <c r="P135" s="3">
        <v>91.383100000000013</v>
      </c>
      <c r="Q135">
        <v>3</v>
      </c>
    </row>
    <row r="136" spans="1:17" x14ac:dyDescent="0.25">
      <c r="A136" t="s">
        <v>744</v>
      </c>
      <c r="B136" t="s">
        <v>745</v>
      </c>
      <c r="C136" t="s">
        <v>1</v>
      </c>
      <c r="D136" t="s">
        <v>0</v>
      </c>
      <c r="E136">
        <v>1752</v>
      </c>
      <c r="F136" t="s">
        <v>475</v>
      </c>
      <c r="G136" t="s">
        <v>476</v>
      </c>
      <c r="H136" s="3">
        <v>0</v>
      </c>
      <c r="I136" s="3">
        <v>0</v>
      </c>
      <c r="J136" s="3">
        <v>0</v>
      </c>
      <c r="K136" s="3">
        <v>56.26</v>
      </c>
      <c r="L136" s="3">
        <v>0</v>
      </c>
      <c r="M136" s="3">
        <v>0</v>
      </c>
      <c r="N136" s="3">
        <v>0</v>
      </c>
      <c r="O136" s="3">
        <v>7.3137999999999996</v>
      </c>
      <c r="P136" s="3">
        <v>63.573799999999999</v>
      </c>
      <c r="Q136">
        <v>3</v>
      </c>
    </row>
    <row r="137" spans="1:17" x14ac:dyDescent="0.25">
      <c r="A137" t="s">
        <v>744</v>
      </c>
      <c r="B137" t="s">
        <v>745</v>
      </c>
      <c r="C137" t="s">
        <v>1</v>
      </c>
      <c r="D137" t="s">
        <v>0</v>
      </c>
      <c r="E137">
        <v>16192</v>
      </c>
      <c r="F137" t="s">
        <v>453</v>
      </c>
      <c r="G137" t="s">
        <v>454</v>
      </c>
      <c r="H137" s="3">
        <v>0</v>
      </c>
      <c r="I137" s="3">
        <v>0</v>
      </c>
      <c r="J137" s="3">
        <v>0</v>
      </c>
      <c r="K137" s="3">
        <v>70.2</v>
      </c>
      <c r="L137" s="3">
        <v>0</v>
      </c>
      <c r="M137" s="3">
        <v>0</v>
      </c>
      <c r="N137" s="3">
        <v>0</v>
      </c>
      <c r="O137" s="3">
        <v>9.1260000000000012</v>
      </c>
      <c r="P137" s="3">
        <v>79.326000000000008</v>
      </c>
      <c r="Q137">
        <v>3</v>
      </c>
    </row>
    <row r="138" spans="1:17" x14ac:dyDescent="0.25">
      <c r="A138" t="s">
        <v>744</v>
      </c>
      <c r="B138" t="s">
        <v>745</v>
      </c>
      <c r="C138" t="s">
        <v>1</v>
      </c>
      <c r="D138" t="s">
        <v>0</v>
      </c>
      <c r="E138">
        <v>173518</v>
      </c>
      <c r="F138" t="s">
        <v>425</v>
      </c>
      <c r="G138" t="s">
        <v>426</v>
      </c>
      <c r="H138" s="3">
        <v>2.95</v>
      </c>
      <c r="I138" s="3">
        <v>0</v>
      </c>
      <c r="J138" s="3">
        <v>0</v>
      </c>
      <c r="K138" s="3">
        <v>27.88</v>
      </c>
      <c r="L138" s="3">
        <v>0</v>
      </c>
      <c r="M138" s="3">
        <v>0</v>
      </c>
      <c r="N138" s="3">
        <v>0</v>
      </c>
      <c r="O138" s="3">
        <v>3.6244000000000001</v>
      </c>
      <c r="P138" s="3">
        <v>34.4544</v>
      </c>
      <c r="Q138">
        <v>3</v>
      </c>
    </row>
    <row r="139" spans="1:17" x14ac:dyDescent="0.25">
      <c r="A139" t="s">
        <v>744</v>
      </c>
      <c r="B139" t="s">
        <v>745</v>
      </c>
      <c r="C139" t="s">
        <v>1</v>
      </c>
      <c r="D139" t="s">
        <v>0</v>
      </c>
      <c r="E139">
        <v>62891</v>
      </c>
      <c r="F139" t="s">
        <v>418</v>
      </c>
      <c r="G139" t="s">
        <v>419</v>
      </c>
      <c r="H139" s="3">
        <v>2.64</v>
      </c>
      <c r="I139" s="3">
        <v>0</v>
      </c>
      <c r="J139" s="3">
        <v>0</v>
      </c>
      <c r="K139" s="3">
        <v>25.1</v>
      </c>
      <c r="L139" s="3">
        <v>0</v>
      </c>
      <c r="M139" s="3">
        <v>0</v>
      </c>
      <c r="N139" s="3">
        <v>0</v>
      </c>
      <c r="O139" s="3">
        <v>3.2630000000000003</v>
      </c>
      <c r="P139" s="3">
        <v>31.003000000000004</v>
      </c>
      <c r="Q139">
        <v>3</v>
      </c>
    </row>
    <row r="140" spans="1:17" x14ac:dyDescent="0.25">
      <c r="A140" t="s">
        <v>744</v>
      </c>
      <c r="B140" t="s">
        <v>745</v>
      </c>
      <c r="C140" t="s">
        <v>1</v>
      </c>
      <c r="D140" t="s">
        <v>0</v>
      </c>
      <c r="E140">
        <v>63071</v>
      </c>
      <c r="F140" t="s">
        <v>418</v>
      </c>
      <c r="G140" t="s">
        <v>419</v>
      </c>
      <c r="H140" s="3">
        <v>6.82</v>
      </c>
      <c r="I140" s="3">
        <v>0</v>
      </c>
      <c r="J140" s="3">
        <v>0</v>
      </c>
      <c r="K140" s="3">
        <v>64.8</v>
      </c>
      <c r="L140" s="3">
        <v>0</v>
      </c>
      <c r="M140" s="3">
        <v>0</v>
      </c>
      <c r="N140" s="3">
        <v>0</v>
      </c>
      <c r="O140" s="3">
        <v>8.4239999999999995</v>
      </c>
      <c r="P140" s="3">
        <v>80.044000000000011</v>
      </c>
      <c r="Q140">
        <v>3</v>
      </c>
    </row>
    <row r="141" spans="1:17" x14ac:dyDescent="0.25">
      <c r="A141" t="s">
        <v>744</v>
      </c>
      <c r="B141" t="s">
        <v>746</v>
      </c>
      <c r="C141" t="s">
        <v>1</v>
      </c>
      <c r="D141" t="s">
        <v>0</v>
      </c>
      <c r="E141">
        <v>1763</v>
      </c>
      <c r="F141" t="s">
        <v>475</v>
      </c>
      <c r="G141" t="s">
        <v>476</v>
      </c>
      <c r="H141" s="3">
        <v>0</v>
      </c>
      <c r="I141" s="3">
        <v>0</v>
      </c>
      <c r="J141" s="3">
        <v>0</v>
      </c>
      <c r="K141" s="3">
        <v>33.130000000000003</v>
      </c>
      <c r="L141" s="3">
        <v>0</v>
      </c>
      <c r="M141" s="3">
        <v>0</v>
      </c>
      <c r="N141" s="3">
        <v>0</v>
      </c>
      <c r="O141" s="3">
        <v>4.3069000000000006</v>
      </c>
      <c r="P141" s="3">
        <v>37.436900000000001</v>
      </c>
      <c r="Q141">
        <v>3</v>
      </c>
    </row>
    <row r="142" spans="1:17" x14ac:dyDescent="0.25">
      <c r="A142" t="s">
        <v>744</v>
      </c>
      <c r="B142" t="s">
        <v>746</v>
      </c>
      <c r="C142" t="s">
        <v>1</v>
      </c>
      <c r="D142" t="s">
        <v>0</v>
      </c>
      <c r="E142">
        <v>6286</v>
      </c>
      <c r="F142" t="s">
        <v>782</v>
      </c>
      <c r="G142" t="s">
        <v>783</v>
      </c>
      <c r="H142" s="3">
        <v>9.48</v>
      </c>
      <c r="I142" s="3">
        <v>0</v>
      </c>
      <c r="J142" s="3">
        <v>0</v>
      </c>
      <c r="K142" s="3">
        <v>88.07</v>
      </c>
      <c r="L142" s="3">
        <v>0</v>
      </c>
      <c r="M142" s="3">
        <v>0</v>
      </c>
      <c r="N142" s="3">
        <v>0</v>
      </c>
      <c r="O142" s="3">
        <v>11.4491</v>
      </c>
      <c r="P142" s="3">
        <v>108.9991</v>
      </c>
      <c r="Q142">
        <v>3</v>
      </c>
    </row>
    <row r="143" spans="1:17" x14ac:dyDescent="0.25">
      <c r="A143" t="s">
        <v>744</v>
      </c>
      <c r="B143" t="s">
        <v>746</v>
      </c>
      <c r="C143" t="s">
        <v>1</v>
      </c>
      <c r="D143" t="s">
        <v>0</v>
      </c>
      <c r="E143">
        <v>1484236</v>
      </c>
      <c r="F143" t="s">
        <v>127</v>
      </c>
      <c r="G143" t="s">
        <v>128</v>
      </c>
      <c r="H143" s="3">
        <v>0</v>
      </c>
      <c r="I143" s="3">
        <v>0</v>
      </c>
      <c r="J143" s="3">
        <v>0</v>
      </c>
      <c r="K143" s="3">
        <v>31.68</v>
      </c>
      <c r="L143" s="3">
        <v>0</v>
      </c>
      <c r="M143" s="3">
        <v>0</v>
      </c>
      <c r="N143" s="3">
        <v>0</v>
      </c>
      <c r="O143" s="3">
        <v>4.1184000000000003</v>
      </c>
      <c r="P143" s="3">
        <v>35.798400000000001</v>
      </c>
      <c r="Q143">
        <v>3</v>
      </c>
    </row>
    <row r="144" spans="1:17" x14ac:dyDescent="0.25">
      <c r="A144" t="s">
        <v>744</v>
      </c>
      <c r="B144" t="s">
        <v>746</v>
      </c>
      <c r="C144" t="s">
        <v>1</v>
      </c>
      <c r="D144" t="s">
        <v>0</v>
      </c>
      <c r="E144">
        <v>173753</v>
      </c>
      <c r="F144" t="s">
        <v>425</v>
      </c>
      <c r="G144" t="s">
        <v>426</v>
      </c>
      <c r="H144" s="3">
        <v>2.72</v>
      </c>
      <c r="I144" s="3">
        <v>0</v>
      </c>
      <c r="J144" s="3">
        <v>0</v>
      </c>
      <c r="K144" s="3">
        <v>28.57</v>
      </c>
      <c r="L144" s="3">
        <v>0</v>
      </c>
      <c r="M144" s="3">
        <v>0</v>
      </c>
      <c r="N144" s="3">
        <v>0</v>
      </c>
      <c r="O144" s="3">
        <v>3.7141000000000002</v>
      </c>
      <c r="P144" s="3">
        <v>35.004100000000001</v>
      </c>
      <c r="Q144">
        <v>3</v>
      </c>
    </row>
    <row r="145" spans="1:17" x14ac:dyDescent="0.25">
      <c r="A145" t="s">
        <v>744</v>
      </c>
      <c r="B145" t="s">
        <v>746</v>
      </c>
      <c r="C145" t="s">
        <v>1</v>
      </c>
      <c r="D145" t="s">
        <v>0</v>
      </c>
      <c r="E145">
        <v>63163</v>
      </c>
      <c r="F145" t="s">
        <v>418</v>
      </c>
      <c r="G145" t="s">
        <v>419</v>
      </c>
      <c r="H145" s="3">
        <v>6.8000000000000007</v>
      </c>
      <c r="I145" s="3">
        <v>0</v>
      </c>
      <c r="J145" s="3">
        <v>0</v>
      </c>
      <c r="K145" s="3">
        <v>64.56</v>
      </c>
      <c r="L145" s="3">
        <v>0</v>
      </c>
      <c r="M145" s="3">
        <v>0</v>
      </c>
      <c r="N145" s="3">
        <v>0</v>
      </c>
      <c r="O145" s="3">
        <v>8.3928000000000011</v>
      </c>
      <c r="P145" s="3">
        <v>79.752800000000008</v>
      </c>
      <c r="Q145">
        <v>3</v>
      </c>
    </row>
    <row r="146" spans="1:17" x14ac:dyDescent="0.25">
      <c r="A146" t="s">
        <v>744</v>
      </c>
      <c r="B146" t="s">
        <v>747</v>
      </c>
      <c r="C146" t="s">
        <v>1</v>
      </c>
      <c r="D146" t="s">
        <v>0</v>
      </c>
      <c r="E146">
        <v>2697</v>
      </c>
      <c r="F146" t="s">
        <v>561</v>
      </c>
      <c r="G146" t="s">
        <v>562</v>
      </c>
      <c r="H146" s="3">
        <v>0</v>
      </c>
      <c r="I146" s="3">
        <v>0</v>
      </c>
      <c r="J146" s="3">
        <v>0</v>
      </c>
      <c r="K146" s="3">
        <v>8.85</v>
      </c>
      <c r="L146" s="3">
        <v>0</v>
      </c>
      <c r="M146" s="3">
        <v>0</v>
      </c>
      <c r="N146" s="3">
        <v>0</v>
      </c>
      <c r="O146" s="3">
        <v>1.1505000000000001</v>
      </c>
      <c r="P146" s="3">
        <v>10.000499999999999</v>
      </c>
      <c r="Q146">
        <v>3</v>
      </c>
    </row>
    <row r="147" spans="1:17" x14ac:dyDescent="0.25">
      <c r="A147" t="s">
        <v>744</v>
      </c>
      <c r="B147" t="s">
        <v>747</v>
      </c>
      <c r="C147" t="s">
        <v>1</v>
      </c>
      <c r="D147" t="s">
        <v>0</v>
      </c>
      <c r="E147">
        <v>1766</v>
      </c>
      <c r="F147" t="s">
        <v>475</v>
      </c>
      <c r="G147" t="s">
        <v>476</v>
      </c>
      <c r="H147" s="3">
        <v>0</v>
      </c>
      <c r="I147" s="3">
        <v>0</v>
      </c>
      <c r="J147" s="3">
        <v>0</v>
      </c>
      <c r="K147" s="3">
        <v>28.08</v>
      </c>
      <c r="L147" s="3">
        <v>0</v>
      </c>
      <c r="M147" s="3">
        <v>0</v>
      </c>
      <c r="N147" s="3">
        <v>0</v>
      </c>
      <c r="O147" s="3">
        <v>3.6503999999999999</v>
      </c>
      <c r="P147" s="3">
        <v>31.730399999999999</v>
      </c>
      <c r="Q147">
        <v>3</v>
      </c>
    </row>
    <row r="148" spans="1:17" x14ac:dyDescent="0.25">
      <c r="A148" t="s">
        <v>744</v>
      </c>
      <c r="B148" t="s">
        <v>747</v>
      </c>
      <c r="C148" t="s">
        <v>1</v>
      </c>
      <c r="D148" t="s">
        <v>0</v>
      </c>
      <c r="E148">
        <v>1772</v>
      </c>
      <c r="F148" t="s">
        <v>475</v>
      </c>
      <c r="G148" t="s">
        <v>476</v>
      </c>
      <c r="H148" s="3">
        <v>0</v>
      </c>
      <c r="I148" s="3">
        <v>0</v>
      </c>
      <c r="J148" s="3">
        <v>0</v>
      </c>
      <c r="K148" s="3">
        <v>56.26</v>
      </c>
      <c r="L148" s="3">
        <v>0</v>
      </c>
      <c r="M148" s="3">
        <v>0</v>
      </c>
      <c r="N148" s="3">
        <v>0</v>
      </c>
      <c r="O148" s="3">
        <v>7.3137999999999996</v>
      </c>
      <c r="P148" s="3">
        <v>63.573799999999999</v>
      </c>
      <c r="Q148">
        <v>3</v>
      </c>
    </row>
    <row r="149" spans="1:17" x14ac:dyDescent="0.25">
      <c r="A149" t="s">
        <v>744</v>
      </c>
      <c r="B149" t="s">
        <v>747</v>
      </c>
      <c r="C149" t="s">
        <v>1</v>
      </c>
      <c r="D149" t="s">
        <v>0</v>
      </c>
      <c r="E149">
        <v>1765</v>
      </c>
      <c r="F149" t="s">
        <v>475</v>
      </c>
      <c r="G149" t="s">
        <v>476</v>
      </c>
      <c r="H149" s="3">
        <v>0</v>
      </c>
      <c r="I149" s="3">
        <v>0</v>
      </c>
      <c r="J149" s="3">
        <v>0</v>
      </c>
      <c r="K149" s="3">
        <v>36.5</v>
      </c>
      <c r="L149" s="3">
        <v>0</v>
      </c>
      <c r="M149" s="3">
        <v>0</v>
      </c>
      <c r="N149" s="3">
        <v>0</v>
      </c>
      <c r="O149" s="3">
        <v>4.7450000000000001</v>
      </c>
      <c r="P149" s="3">
        <v>41.244999999999997</v>
      </c>
      <c r="Q149">
        <v>3</v>
      </c>
    </row>
    <row r="150" spans="1:17" x14ac:dyDescent="0.25">
      <c r="A150" t="s">
        <v>744</v>
      </c>
      <c r="B150" t="s">
        <v>747</v>
      </c>
      <c r="C150" t="s">
        <v>1</v>
      </c>
      <c r="D150" t="s">
        <v>0</v>
      </c>
      <c r="E150">
        <v>11027</v>
      </c>
      <c r="F150" t="s">
        <v>451</v>
      </c>
      <c r="G150" t="s">
        <v>452</v>
      </c>
      <c r="H150" s="3">
        <v>14.07</v>
      </c>
      <c r="I150" s="3">
        <v>0</v>
      </c>
      <c r="J150" s="3">
        <v>0</v>
      </c>
      <c r="K150" s="3">
        <v>133.57</v>
      </c>
      <c r="L150" s="3">
        <v>0</v>
      </c>
      <c r="M150" s="3">
        <v>0</v>
      </c>
      <c r="N150" s="3">
        <v>0</v>
      </c>
      <c r="O150" s="3">
        <v>17.364100000000001</v>
      </c>
      <c r="P150" s="3">
        <v>165.00409999999999</v>
      </c>
      <c r="Q150">
        <v>3</v>
      </c>
    </row>
    <row r="151" spans="1:17" x14ac:dyDescent="0.25">
      <c r="A151" t="s">
        <v>744</v>
      </c>
      <c r="B151" t="s">
        <v>747</v>
      </c>
      <c r="C151" t="s">
        <v>1</v>
      </c>
      <c r="D151" t="s">
        <v>0</v>
      </c>
      <c r="E151">
        <v>63637</v>
      </c>
      <c r="F151" t="s">
        <v>418</v>
      </c>
      <c r="G151" t="s">
        <v>419</v>
      </c>
      <c r="H151" s="3">
        <v>10.23</v>
      </c>
      <c r="I151" s="3">
        <v>0</v>
      </c>
      <c r="J151" s="3">
        <v>0</v>
      </c>
      <c r="K151" s="3">
        <v>97.16</v>
      </c>
      <c r="L151" s="3">
        <v>0</v>
      </c>
      <c r="M151" s="3">
        <v>0</v>
      </c>
      <c r="N151" s="3">
        <v>0</v>
      </c>
      <c r="O151" s="3">
        <v>12.630800000000001</v>
      </c>
      <c r="P151" s="3">
        <v>120.02080000000001</v>
      </c>
      <c r="Q151">
        <v>3</v>
      </c>
    </row>
    <row r="152" spans="1:17" x14ac:dyDescent="0.25">
      <c r="A152" t="s">
        <v>744</v>
      </c>
      <c r="B152" t="s">
        <v>704</v>
      </c>
      <c r="C152" t="s">
        <v>1</v>
      </c>
      <c r="D152" t="s">
        <v>0</v>
      </c>
      <c r="E152">
        <v>120570</v>
      </c>
      <c r="F152" t="s">
        <v>491</v>
      </c>
      <c r="G152" t="s">
        <v>492</v>
      </c>
      <c r="H152" s="3">
        <v>0</v>
      </c>
      <c r="I152" s="3">
        <v>0</v>
      </c>
      <c r="J152" s="3">
        <v>0</v>
      </c>
      <c r="K152" s="3">
        <v>185.82</v>
      </c>
      <c r="L152" s="3">
        <v>0</v>
      </c>
      <c r="M152" s="3">
        <v>0</v>
      </c>
      <c r="N152" s="3">
        <v>0</v>
      </c>
      <c r="O152" s="3">
        <v>24.156600000000001</v>
      </c>
      <c r="P152" s="3">
        <v>209.97659999999999</v>
      </c>
      <c r="Q152">
        <v>3</v>
      </c>
    </row>
    <row r="153" spans="1:17" x14ac:dyDescent="0.25">
      <c r="A153" t="s">
        <v>744</v>
      </c>
      <c r="B153" t="s">
        <v>704</v>
      </c>
      <c r="C153" t="s">
        <v>1</v>
      </c>
      <c r="D153" t="s">
        <v>0</v>
      </c>
      <c r="E153">
        <v>4950682</v>
      </c>
      <c r="F153" t="s">
        <v>557</v>
      </c>
      <c r="G153" t="s">
        <v>558</v>
      </c>
      <c r="H153" s="3">
        <v>0</v>
      </c>
      <c r="I153" s="3">
        <v>0</v>
      </c>
      <c r="J153" s="3">
        <v>0</v>
      </c>
      <c r="K153" s="3">
        <v>26.39</v>
      </c>
      <c r="L153" s="3">
        <v>0</v>
      </c>
      <c r="M153" s="3">
        <v>0</v>
      </c>
      <c r="N153" s="3">
        <v>0</v>
      </c>
      <c r="O153" s="3">
        <v>3.4307000000000003</v>
      </c>
      <c r="P153" s="3">
        <v>29.820700000000002</v>
      </c>
      <c r="Q153">
        <v>3</v>
      </c>
    </row>
    <row r="154" spans="1:17" x14ac:dyDescent="0.25">
      <c r="A154" t="s">
        <v>744</v>
      </c>
      <c r="B154" t="s">
        <v>748</v>
      </c>
      <c r="C154" t="s">
        <v>1</v>
      </c>
      <c r="D154" t="s">
        <v>0</v>
      </c>
      <c r="E154">
        <v>173980</v>
      </c>
      <c r="F154" t="s">
        <v>425</v>
      </c>
      <c r="G154" t="s">
        <v>426</v>
      </c>
      <c r="H154" s="3">
        <v>2.56</v>
      </c>
      <c r="I154" s="3">
        <v>0</v>
      </c>
      <c r="J154" s="3">
        <v>0</v>
      </c>
      <c r="K154" s="3">
        <v>24.33</v>
      </c>
      <c r="L154" s="3">
        <v>0</v>
      </c>
      <c r="M154" s="3">
        <v>0</v>
      </c>
      <c r="N154" s="3">
        <v>0</v>
      </c>
      <c r="O154" s="3">
        <v>3.1629</v>
      </c>
      <c r="P154" s="3">
        <v>30.052899999999998</v>
      </c>
      <c r="Q154">
        <v>3</v>
      </c>
    </row>
    <row r="155" spans="1:17" x14ac:dyDescent="0.25">
      <c r="A155" t="s">
        <v>744</v>
      </c>
      <c r="B155" t="s">
        <v>748</v>
      </c>
      <c r="C155" t="s">
        <v>1</v>
      </c>
      <c r="D155" t="s">
        <v>0</v>
      </c>
      <c r="E155">
        <v>63785</v>
      </c>
      <c r="F155" t="s">
        <v>418</v>
      </c>
      <c r="G155" t="s">
        <v>419</v>
      </c>
      <c r="H155" s="3">
        <v>7.18</v>
      </c>
      <c r="I155" s="3">
        <v>0</v>
      </c>
      <c r="J155" s="3">
        <v>0</v>
      </c>
      <c r="K155" s="3">
        <v>68.2</v>
      </c>
      <c r="L155" s="3">
        <v>0</v>
      </c>
      <c r="M155" s="3">
        <v>0</v>
      </c>
      <c r="N155" s="3">
        <v>0</v>
      </c>
      <c r="O155" s="3">
        <v>8.8660000000000014</v>
      </c>
      <c r="P155" s="3">
        <v>84.245999999999995</v>
      </c>
      <c r="Q155">
        <v>3</v>
      </c>
    </row>
    <row r="156" spans="1:17" x14ac:dyDescent="0.25">
      <c r="A156" t="s">
        <v>744</v>
      </c>
      <c r="B156" t="s">
        <v>749</v>
      </c>
      <c r="C156" t="s">
        <v>1</v>
      </c>
      <c r="D156" t="s">
        <v>0</v>
      </c>
      <c r="E156">
        <v>1787</v>
      </c>
      <c r="F156" t="s">
        <v>475</v>
      </c>
      <c r="G156" t="s">
        <v>476</v>
      </c>
      <c r="H156" s="3">
        <v>0</v>
      </c>
      <c r="I156" s="3">
        <v>0</v>
      </c>
      <c r="J156" s="3">
        <v>0</v>
      </c>
      <c r="K156" s="3">
        <v>56.26</v>
      </c>
      <c r="L156" s="3">
        <v>0</v>
      </c>
      <c r="M156" s="3">
        <v>0</v>
      </c>
      <c r="N156" s="3">
        <v>0</v>
      </c>
      <c r="O156" s="3">
        <v>7.3137999999999996</v>
      </c>
      <c r="P156" s="3">
        <v>63.573799999999999</v>
      </c>
      <c r="Q156">
        <v>3</v>
      </c>
    </row>
    <row r="157" spans="1:17" x14ac:dyDescent="0.25">
      <c r="A157" t="s">
        <v>744</v>
      </c>
      <c r="B157" t="s">
        <v>749</v>
      </c>
      <c r="C157" t="s">
        <v>1</v>
      </c>
      <c r="D157" t="s">
        <v>0</v>
      </c>
      <c r="E157">
        <v>1785</v>
      </c>
      <c r="F157" t="s">
        <v>475</v>
      </c>
      <c r="G157" t="s">
        <v>476</v>
      </c>
      <c r="H157" s="3">
        <v>0</v>
      </c>
      <c r="I157" s="3">
        <v>0</v>
      </c>
      <c r="J157" s="3">
        <v>0</v>
      </c>
      <c r="K157" s="3">
        <v>56.26</v>
      </c>
      <c r="L157" s="3">
        <v>0</v>
      </c>
      <c r="M157" s="3">
        <v>0</v>
      </c>
      <c r="N157" s="3">
        <v>0</v>
      </c>
      <c r="O157" s="3">
        <v>7.3137999999999996</v>
      </c>
      <c r="P157" s="3">
        <v>63.573799999999999</v>
      </c>
      <c r="Q157">
        <v>3</v>
      </c>
    </row>
    <row r="158" spans="1:17" x14ac:dyDescent="0.25">
      <c r="A158" t="s">
        <v>744</v>
      </c>
      <c r="B158" t="s">
        <v>749</v>
      </c>
      <c r="C158" t="s">
        <v>1</v>
      </c>
      <c r="D158" t="s">
        <v>0</v>
      </c>
      <c r="E158">
        <v>1779</v>
      </c>
      <c r="F158" t="s">
        <v>475</v>
      </c>
      <c r="G158" t="s">
        <v>476</v>
      </c>
      <c r="H158" s="3">
        <v>0</v>
      </c>
      <c r="I158" s="3">
        <v>0</v>
      </c>
      <c r="J158" s="3">
        <v>0</v>
      </c>
      <c r="K158" s="3">
        <v>39.590000000000003</v>
      </c>
      <c r="L158" s="3">
        <v>0</v>
      </c>
      <c r="M158" s="3">
        <v>0</v>
      </c>
      <c r="N158" s="3">
        <v>0</v>
      </c>
      <c r="O158" s="3">
        <v>5.1467000000000009</v>
      </c>
      <c r="P158" s="3">
        <v>44.736700000000006</v>
      </c>
      <c r="Q158">
        <v>3</v>
      </c>
    </row>
    <row r="159" spans="1:17" x14ac:dyDescent="0.25">
      <c r="A159" t="s">
        <v>744</v>
      </c>
      <c r="B159" t="s">
        <v>749</v>
      </c>
      <c r="C159" t="s">
        <v>1</v>
      </c>
      <c r="D159" t="s">
        <v>0</v>
      </c>
      <c r="E159">
        <v>174234</v>
      </c>
      <c r="F159" t="s">
        <v>425</v>
      </c>
      <c r="G159" t="s">
        <v>426</v>
      </c>
      <c r="H159" s="3">
        <v>1.87</v>
      </c>
      <c r="I159" s="3">
        <v>0</v>
      </c>
      <c r="J159" s="3">
        <v>0</v>
      </c>
      <c r="K159" s="3">
        <v>17.809999999999999</v>
      </c>
      <c r="L159" s="3">
        <v>0</v>
      </c>
      <c r="M159" s="3">
        <v>0</v>
      </c>
      <c r="N159" s="3">
        <v>0</v>
      </c>
      <c r="O159" s="3">
        <v>2.3152999999999997</v>
      </c>
      <c r="P159" s="3">
        <v>21.9953</v>
      </c>
      <c r="Q159">
        <v>3</v>
      </c>
    </row>
    <row r="160" spans="1:17" x14ac:dyDescent="0.25">
      <c r="A160" t="s">
        <v>744</v>
      </c>
      <c r="B160" t="s">
        <v>749</v>
      </c>
      <c r="C160" t="s">
        <v>1</v>
      </c>
      <c r="D160" t="s">
        <v>0</v>
      </c>
      <c r="E160">
        <v>64329</v>
      </c>
      <c r="F160" t="s">
        <v>418</v>
      </c>
      <c r="G160" t="s">
        <v>419</v>
      </c>
      <c r="H160" s="3">
        <v>10.649999999999999</v>
      </c>
      <c r="I160" s="3">
        <v>0</v>
      </c>
      <c r="J160" s="3">
        <v>0</v>
      </c>
      <c r="K160" s="3">
        <v>101.15</v>
      </c>
      <c r="L160" s="3">
        <v>0</v>
      </c>
      <c r="M160" s="3">
        <v>0</v>
      </c>
      <c r="N160" s="3">
        <v>0</v>
      </c>
      <c r="O160" s="3">
        <v>13.149500000000002</v>
      </c>
      <c r="P160" s="3">
        <v>124.94950000000001</v>
      </c>
      <c r="Q160">
        <v>3</v>
      </c>
    </row>
    <row r="161" spans="1:17" x14ac:dyDescent="0.25">
      <c r="A161" t="s">
        <v>744</v>
      </c>
      <c r="B161" t="s">
        <v>750</v>
      </c>
      <c r="C161" t="s">
        <v>1</v>
      </c>
      <c r="D161" t="s">
        <v>0</v>
      </c>
      <c r="E161">
        <v>1795</v>
      </c>
      <c r="F161" t="s">
        <v>475</v>
      </c>
      <c r="G161" t="s">
        <v>476</v>
      </c>
      <c r="H161" s="3">
        <v>0</v>
      </c>
      <c r="I161" s="3">
        <v>0</v>
      </c>
      <c r="J161" s="3">
        <v>0</v>
      </c>
      <c r="K161" s="3">
        <v>75.81</v>
      </c>
      <c r="L161" s="3">
        <v>0</v>
      </c>
      <c r="M161" s="3">
        <v>0</v>
      </c>
      <c r="N161" s="3">
        <v>0</v>
      </c>
      <c r="O161" s="3">
        <v>9.8553000000000015</v>
      </c>
      <c r="P161" s="3">
        <v>85.665300000000002</v>
      </c>
      <c r="Q161">
        <v>3</v>
      </c>
    </row>
    <row r="162" spans="1:17" x14ac:dyDescent="0.25">
      <c r="A162" t="s">
        <v>744</v>
      </c>
      <c r="B162" t="s">
        <v>750</v>
      </c>
      <c r="C162" t="s">
        <v>1</v>
      </c>
      <c r="D162" t="s">
        <v>0</v>
      </c>
      <c r="E162">
        <v>1790</v>
      </c>
      <c r="F162" t="s">
        <v>475</v>
      </c>
      <c r="G162" t="s">
        <v>476</v>
      </c>
      <c r="H162" s="3">
        <v>0</v>
      </c>
      <c r="I162" s="3">
        <v>0</v>
      </c>
      <c r="J162" s="3">
        <v>0</v>
      </c>
      <c r="K162" s="3">
        <v>28.08</v>
      </c>
      <c r="L162" s="3">
        <v>0</v>
      </c>
      <c r="M162" s="3">
        <v>0</v>
      </c>
      <c r="N162" s="3">
        <v>0</v>
      </c>
      <c r="O162" s="3">
        <v>3.6503999999999999</v>
      </c>
      <c r="P162" s="3">
        <v>31.730399999999999</v>
      </c>
      <c r="Q162">
        <v>3</v>
      </c>
    </row>
    <row r="163" spans="1:17" x14ac:dyDescent="0.25">
      <c r="A163" t="s">
        <v>744</v>
      </c>
      <c r="B163" t="s">
        <v>750</v>
      </c>
      <c r="C163" t="s">
        <v>1</v>
      </c>
      <c r="D163" t="s">
        <v>0</v>
      </c>
      <c r="E163">
        <v>1791</v>
      </c>
      <c r="F163" t="s">
        <v>475</v>
      </c>
      <c r="G163" t="s">
        <v>476</v>
      </c>
      <c r="H163" s="3">
        <v>0</v>
      </c>
      <c r="I163" s="3">
        <v>0</v>
      </c>
      <c r="J163" s="3">
        <v>0</v>
      </c>
      <c r="K163" s="3">
        <v>40.43</v>
      </c>
      <c r="L163" s="3">
        <v>0</v>
      </c>
      <c r="M163" s="3">
        <v>0</v>
      </c>
      <c r="N163" s="3">
        <v>0</v>
      </c>
      <c r="O163" s="3">
        <v>5.2559000000000005</v>
      </c>
      <c r="P163" s="3">
        <v>45.685900000000004</v>
      </c>
      <c r="Q163">
        <v>3</v>
      </c>
    </row>
    <row r="164" spans="1:17" x14ac:dyDescent="0.25">
      <c r="A164" t="s">
        <v>744</v>
      </c>
      <c r="B164" t="s">
        <v>750</v>
      </c>
      <c r="C164" t="s">
        <v>1</v>
      </c>
      <c r="D164" t="s">
        <v>0</v>
      </c>
      <c r="E164">
        <v>174400</v>
      </c>
      <c r="F164" t="s">
        <v>425</v>
      </c>
      <c r="G164" t="s">
        <v>426</v>
      </c>
      <c r="H164" s="3">
        <v>9.7200000000000006</v>
      </c>
      <c r="I164" s="3">
        <v>0</v>
      </c>
      <c r="J164" s="3">
        <v>0</v>
      </c>
      <c r="K164" s="3">
        <v>111.22</v>
      </c>
      <c r="L164" s="3">
        <v>0</v>
      </c>
      <c r="M164" s="3">
        <v>0</v>
      </c>
      <c r="N164" s="3">
        <v>0</v>
      </c>
      <c r="O164" s="3">
        <v>14.458600000000001</v>
      </c>
      <c r="P164" s="3">
        <v>135.39859999999999</v>
      </c>
      <c r="Q164">
        <v>3</v>
      </c>
    </row>
    <row r="165" spans="1:17" x14ac:dyDescent="0.25">
      <c r="A165" t="s">
        <v>744</v>
      </c>
      <c r="B165" t="s">
        <v>750</v>
      </c>
      <c r="C165" t="s">
        <v>1</v>
      </c>
      <c r="D165" t="s">
        <v>0</v>
      </c>
      <c r="E165">
        <v>64394</v>
      </c>
      <c r="F165" t="s">
        <v>418</v>
      </c>
      <c r="G165" t="s">
        <v>419</v>
      </c>
      <c r="H165" s="3">
        <v>2.16</v>
      </c>
      <c r="I165" s="3">
        <v>0</v>
      </c>
      <c r="J165" s="3">
        <v>0</v>
      </c>
      <c r="K165" s="3">
        <v>22.87</v>
      </c>
      <c r="L165" s="3">
        <v>0</v>
      </c>
      <c r="M165" s="3">
        <v>0</v>
      </c>
      <c r="N165" s="3">
        <v>0</v>
      </c>
      <c r="O165" s="3">
        <v>2.9731000000000001</v>
      </c>
      <c r="P165" s="3">
        <v>28.0031</v>
      </c>
      <c r="Q165">
        <v>3</v>
      </c>
    </row>
    <row r="166" spans="1:17" x14ac:dyDescent="0.25">
      <c r="A166" t="s">
        <v>744</v>
      </c>
      <c r="B166" t="s">
        <v>751</v>
      </c>
      <c r="C166" t="s">
        <v>1</v>
      </c>
      <c r="D166" t="s">
        <v>0</v>
      </c>
      <c r="E166">
        <v>325323</v>
      </c>
      <c r="F166" t="s">
        <v>477</v>
      </c>
      <c r="G166" t="s">
        <v>478</v>
      </c>
      <c r="H166" s="3">
        <v>0</v>
      </c>
      <c r="I166" s="3">
        <v>0</v>
      </c>
      <c r="J166" s="3">
        <v>0</v>
      </c>
      <c r="K166" s="3">
        <v>158.63999999999999</v>
      </c>
      <c r="L166" s="3">
        <v>0</v>
      </c>
      <c r="M166" s="3">
        <v>0</v>
      </c>
      <c r="N166" s="3">
        <v>0</v>
      </c>
      <c r="O166" s="3">
        <v>20.623200000000001</v>
      </c>
      <c r="P166" s="3">
        <v>179.26319999999998</v>
      </c>
      <c r="Q166">
        <v>3</v>
      </c>
    </row>
    <row r="167" spans="1:17" x14ac:dyDescent="0.25">
      <c r="A167" t="s">
        <v>744</v>
      </c>
      <c r="B167" t="s">
        <v>751</v>
      </c>
      <c r="C167" t="s">
        <v>1</v>
      </c>
      <c r="D167" t="s">
        <v>0</v>
      </c>
      <c r="E167">
        <v>1800</v>
      </c>
      <c r="F167" t="s">
        <v>475</v>
      </c>
      <c r="G167" t="s">
        <v>476</v>
      </c>
      <c r="H167" s="3">
        <v>0</v>
      </c>
      <c r="I167" s="3">
        <v>0</v>
      </c>
      <c r="J167" s="3">
        <v>0</v>
      </c>
      <c r="K167" s="3">
        <v>62.89</v>
      </c>
      <c r="L167" s="3">
        <v>0</v>
      </c>
      <c r="M167" s="3">
        <v>0</v>
      </c>
      <c r="N167" s="3">
        <v>0</v>
      </c>
      <c r="O167" s="3">
        <v>8.1757000000000009</v>
      </c>
      <c r="P167" s="3">
        <v>71.065700000000007</v>
      </c>
      <c r="Q167">
        <v>3</v>
      </c>
    </row>
    <row r="168" spans="1:17" x14ac:dyDescent="0.25">
      <c r="A168" t="s">
        <v>744</v>
      </c>
      <c r="B168" t="s">
        <v>751</v>
      </c>
      <c r="C168" t="s">
        <v>1</v>
      </c>
      <c r="D168" t="s">
        <v>0</v>
      </c>
      <c r="E168">
        <v>900392</v>
      </c>
      <c r="F168" t="s">
        <v>240</v>
      </c>
      <c r="G168" t="s">
        <v>772</v>
      </c>
      <c r="H168" s="3">
        <v>0</v>
      </c>
      <c r="I168" s="3">
        <v>0</v>
      </c>
      <c r="J168" s="3">
        <v>0</v>
      </c>
      <c r="K168" s="3">
        <v>236.1</v>
      </c>
      <c r="L168" s="3">
        <v>0</v>
      </c>
      <c r="M168" s="3">
        <v>0</v>
      </c>
      <c r="N168" s="3">
        <v>0</v>
      </c>
      <c r="O168" s="3">
        <v>30.693000000000001</v>
      </c>
      <c r="P168" s="3">
        <v>266.79300000000001</v>
      </c>
      <c r="Q168">
        <v>3</v>
      </c>
    </row>
    <row r="169" spans="1:17" x14ac:dyDescent="0.25">
      <c r="A169" t="s">
        <v>744</v>
      </c>
      <c r="B169" t="s">
        <v>751</v>
      </c>
      <c r="C169" t="s">
        <v>1</v>
      </c>
      <c r="D169" t="s">
        <v>0</v>
      </c>
      <c r="E169">
        <v>900393</v>
      </c>
      <c r="F169" t="s">
        <v>240</v>
      </c>
      <c r="G169" t="s">
        <v>772</v>
      </c>
      <c r="H169" s="3">
        <v>0</v>
      </c>
      <c r="I169" s="3">
        <v>0</v>
      </c>
      <c r="J169" s="3">
        <v>0</v>
      </c>
      <c r="K169" s="3">
        <v>45.13</v>
      </c>
      <c r="L169" s="3">
        <v>0</v>
      </c>
      <c r="M169" s="3">
        <v>0</v>
      </c>
      <c r="N169" s="3">
        <v>0</v>
      </c>
      <c r="O169" s="3">
        <v>5.8669000000000002</v>
      </c>
      <c r="P169" s="3">
        <v>50.996900000000004</v>
      </c>
      <c r="Q169">
        <v>3</v>
      </c>
    </row>
    <row r="170" spans="1:17" x14ac:dyDescent="0.25">
      <c r="A170" t="s">
        <v>744</v>
      </c>
      <c r="B170" t="s">
        <v>751</v>
      </c>
      <c r="C170" t="s">
        <v>1</v>
      </c>
      <c r="D170" t="s">
        <v>0</v>
      </c>
      <c r="E170">
        <v>300</v>
      </c>
      <c r="F170" t="s">
        <v>663</v>
      </c>
      <c r="G170" t="s">
        <v>664</v>
      </c>
      <c r="H170" s="3">
        <v>0</v>
      </c>
      <c r="I170" s="3">
        <v>0</v>
      </c>
      <c r="J170" s="3">
        <v>0</v>
      </c>
      <c r="K170" s="3">
        <v>31.88</v>
      </c>
      <c r="L170" s="3">
        <v>0</v>
      </c>
      <c r="M170" s="3">
        <v>0</v>
      </c>
      <c r="N170" s="3">
        <v>0</v>
      </c>
      <c r="O170" s="3">
        <v>4.1444000000000001</v>
      </c>
      <c r="P170" s="3">
        <v>36.0244</v>
      </c>
      <c r="Q170">
        <v>3</v>
      </c>
    </row>
    <row r="171" spans="1:17" x14ac:dyDescent="0.25">
      <c r="A171" t="s">
        <v>744</v>
      </c>
      <c r="B171" t="s">
        <v>751</v>
      </c>
      <c r="C171" t="s">
        <v>1</v>
      </c>
      <c r="D171" t="s">
        <v>0</v>
      </c>
      <c r="E171">
        <v>174519</v>
      </c>
      <c r="F171" t="s">
        <v>425</v>
      </c>
      <c r="G171" t="s">
        <v>426</v>
      </c>
      <c r="H171" s="3">
        <v>4.78</v>
      </c>
      <c r="I171" s="3">
        <v>0</v>
      </c>
      <c r="J171" s="3">
        <v>0</v>
      </c>
      <c r="K171" s="3">
        <v>45.33</v>
      </c>
      <c r="L171" s="3">
        <v>0</v>
      </c>
      <c r="M171" s="3">
        <v>0</v>
      </c>
      <c r="N171" s="3">
        <v>0</v>
      </c>
      <c r="O171" s="3">
        <v>5.8929</v>
      </c>
      <c r="P171" s="3">
        <v>56.002899999999997</v>
      </c>
      <c r="Q171">
        <v>3</v>
      </c>
    </row>
    <row r="172" spans="1:17" x14ac:dyDescent="0.25">
      <c r="A172" t="s">
        <v>744</v>
      </c>
      <c r="B172" t="s">
        <v>751</v>
      </c>
      <c r="C172" t="s">
        <v>1</v>
      </c>
      <c r="D172" t="s">
        <v>0</v>
      </c>
      <c r="E172">
        <v>64894</v>
      </c>
      <c r="F172" t="s">
        <v>418</v>
      </c>
      <c r="G172" t="s">
        <v>419</v>
      </c>
      <c r="H172" s="3">
        <v>9.66</v>
      </c>
      <c r="I172" s="3">
        <v>0</v>
      </c>
      <c r="J172" s="3">
        <v>0</v>
      </c>
      <c r="K172" s="3">
        <v>91.74</v>
      </c>
      <c r="L172" s="3">
        <v>0</v>
      </c>
      <c r="M172" s="3">
        <v>0</v>
      </c>
      <c r="N172" s="3">
        <v>0</v>
      </c>
      <c r="O172" s="3">
        <v>11.9262</v>
      </c>
      <c r="P172" s="3">
        <v>113.32619999999999</v>
      </c>
      <c r="Q172">
        <v>3</v>
      </c>
    </row>
    <row r="173" spans="1:17" x14ac:dyDescent="0.25">
      <c r="A173" t="s">
        <v>744</v>
      </c>
      <c r="B173" t="s">
        <v>751</v>
      </c>
      <c r="C173" t="s">
        <v>1</v>
      </c>
      <c r="D173" t="s">
        <v>0</v>
      </c>
      <c r="E173">
        <v>64776</v>
      </c>
      <c r="F173" t="s">
        <v>418</v>
      </c>
      <c r="G173" t="s">
        <v>419</v>
      </c>
      <c r="H173" s="3">
        <v>7.66</v>
      </c>
      <c r="I173" s="3">
        <v>0</v>
      </c>
      <c r="J173" s="3">
        <v>0</v>
      </c>
      <c r="K173" s="3">
        <v>72.81</v>
      </c>
      <c r="L173" s="3">
        <v>0</v>
      </c>
      <c r="M173" s="3">
        <v>0</v>
      </c>
      <c r="N173" s="3">
        <v>0</v>
      </c>
      <c r="O173" s="3">
        <v>9.4653000000000009</v>
      </c>
      <c r="P173" s="3">
        <v>89.935299999999998</v>
      </c>
      <c r="Q173">
        <v>3</v>
      </c>
    </row>
    <row r="174" spans="1:17" x14ac:dyDescent="0.25">
      <c r="A174" t="s">
        <v>744</v>
      </c>
      <c r="B174" t="s">
        <v>752</v>
      </c>
      <c r="C174" t="s">
        <v>1</v>
      </c>
      <c r="D174" t="s">
        <v>0</v>
      </c>
      <c r="E174">
        <v>1804</v>
      </c>
      <c r="F174" t="s">
        <v>475</v>
      </c>
      <c r="G174" t="s">
        <v>476</v>
      </c>
      <c r="H174" s="3">
        <v>0</v>
      </c>
      <c r="I174" s="3">
        <v>0</v>
      </c>
      <c r="J174" s="3">
        <v>0</v>
      </c>
      <c r="K174" s="3">
        <v>56.26</v>
      </c>
      <c r="L174" s="3">
        <v>0</v>
      </c>
      <c r="M174" s="3">
        <v>0</v>
      </c>
      <c r="N174" s="3">
        <v>0</v>
      </c>
      <c r="O174" s="3">
        <v>7.3137999999999996</v>
      </c>
      <c r="P174" s="3">
        <v>63.573799999999999</v>
      </c>
      <c r="Q174">
        <v>3</v>
      </c>
    </row>
    <row r="175" spans="1:17" x14ac:dyDescent="0.25">
      <c r="A175" t="s">
        <v>744</v>
      </c>
      <c r="B175" t="s">
        <v>752</v>
      </c>
      <c r="C175" t="s">
        <v>1</v>
      </c>
      <c r="D175" t="s">
        <v>0</v>
      </c>
      <c r="E175">
        <v>16508</v>
      </c>
      <c r="F175" t="s">
        <v>453</v>
      </c>
      <c r="G175" t="s">
        <v>454</v>
      </c>
      <c r="H175" s="3">
        <v>0</v>
      </c>
      <c r="I175" s="3">
        <v>0</v>
      </c>
      <c r="J175" s="3">
        <v>0</v>
      </c>
      <c r="K175" s="3">
        <v>17.100000000000001</v>
      </c>
      <c r="L175" s="3">
        <v>0</v>
      </c>
      <c r="M175" s="3">
        <v>0</v>
      </c>
      <c r="N175" s="3">
        <v>0</v>
      </c>
      <c r="O175" s="3">
        <v>2.2230000000000003</v>
      </c>
      <c r="P175" s="3">
        <v>19.323</v>
      </c>
      <c r="Q175">
        <v>3</v>
      </c>
    </row>
    <row r="176" spans="1:17" x14ac:dyDescent="0.25">
      <c r="A176" t="s">
        <v>744</v>
      </c>
      <c r="B176" t="s">
        <v>752</v>
      </c>
      <c r="C176" t="s">
        <v>1</v>
      </c>
      <c r="D176" t="s">
        <v>0</v>
      </c>
      <c r="E176">
        <v>174804</v>
      </c>
      <c r="F176" t="s">
        <v>425</v>
      </c>
      <c r="G176" t="s">
        <v>426</v>
      </c>
      <c r="H176" s="3">
        <v>3.83</v>
      </c>
      <c r="I176" s="3">
        <v>0</v>
      </c>
      <c r="J176" s="3">
        <v>0</v>
      </c>
      <c r="K176" s="3">
        <v>36.43</v>
      </c>
      <c r="L176" s="3">
        <v>0</v>
      </c>
      <c r="M176" s="3">
        <v>0</v>
      </c>
      <c r="N176" s="3">
        <v>0</v>
      </c>
      <c r="O176" s="3">
        <v>4.7359</v>
      </c>
      <c r="P176" s="3">
        <v>44.995899999999999</v>
      </c>
      <c r="Q176">
        <v>3</v>
      </c>
    </row>
    <row r="177" spans="1:17" x14ac:dyDescent="0.25">
      <c r="A177" t="s">
        <v>744</v>
      </c>
      <c r="B177" t="s">
        <v>752</v>
      </c>
      <c r="C177" t="s">
        <v>1</v>
      </c>
      <c r="D177" t="s">
        <v>0</v>
      </c>
      <c r="E177">
        <v>65202</v>
      </c>
      <c r="F177" t="s">
        <v>418</v>
      </c>
      <c r="G177" t="s">
        <v>419</v>
      </c>
      <c r="H177" s="3">
        <v>9.61</v>
      </c>
      <c r="I177" s="3">
        <v>0</v>
      </c>
      <c r="J177" s="3">
        <v>0</v>
      </c>
      <c r="K177" s="3">
        <v>91.27</v>
      </c>
      <c r="L177" s="3">
        <v>0</v>
      </c>
      <c r="M177" s="3">
        <v>0</v>
      </c>
      <c r="N177" s="3">
        <v>0</v>
      </c>
      <c r="O177" s="3">
        <v>11.8651</v>
      </c>
      <c r="P177" s="3">
        <v>112.74509999999999</v>
      </c>
      <c r="Q177">
        <v>3</v>
      </c>
    </row>
    <row r="178" spans="1:17" x14ac:dyDescent="0.25">
      <c r="A178" t="s">
        <v>744</v>
      </c>
      <c r="B178" t="s">
        <v>753</v>
      </c>
      <c r="C178" t="s">
        <v>1</v>
      </c>
      <c r="D178" t="s">
        <v>0</v>
      </c>
      <c r="E178">
        <v>1819</v>
      </c>
      <c r="F178" t="s">
        <v>475</v>
      </c>
      <c r="G178" t="s">
        <v>476</v>
      </c>
      <c r="H178" s="3">
        <v>0</v>
      </c>
      <c r="I178" s="3">
        <v>0</v>
      </c>
      <c r="J178" s="3">
        <v>0</v>
      </c>
      <c r="K178" s="3">
        <v>28.08</v>
      </c>
      <c r="L178" s="3">
        <v>0</v>
      </c>
      <c r="M178" s="3">
        <v>0</v>
      </c>
      <c r="N178" s="3">
        <v>0</v>
      </c>
      <c r="O178" s="3">
        <v>3.6503999999999999</v>
      </c>
      <c r="P178" s="3">
        <v>31.730399999999999</v>
      </c>
      <c r="Q178">
        <v>3</v>
      </c>
    </row>
    <row r="179" spans="1:17" x14ac:dyDescent="0.25">
      <c r="A179" t="s">
        <v>744</v>
      </c>
      <c r="B179" t="s">
        <v>753</v>
      </c>
      <c r="C179" t="s">
        <v>1</v>
      </c>
      <c r="D179" t="s">
        <v>0</v>
      </c>
      <c r="E179">
        <v>1822</v>
      </c>
      <c r="F179" t="s">
        <v>475</v>
      </c>
      <c r="G179" t="s">
        <v>476</v>
      </c>
      <c r="H179" s="3">
        <v>0</v>
      </c>
      <c r="I179" s="3">
        <v>0</v>
      </c>
      <c r="J179" s="3">
        <v>0</v>
      </c>
      <c r="K179" s="3">
        <v>56.26</v>
      </c>
      <c r="L179" s="3">
        <v>0</v>
      </c>
      <c r="M179" s="3">
        <v>0</v>
      </c>
      <c r="N179" s="3">
        <v>0</v>
      </c>
      <c r="O179" s="3">
        <v>7.3137999999999996</v>
      </c>
      <c r="P179" s="3">
        <v>63.573799999999999</v>
      </c>
      <c r="Q179">
        <v>3</v>
      </c>
    </row>
    <row r="180" spans="1:17" x14ac:dyDescent="0.25">
      <c r="A180" t="s">
        <v>744</v>
      </c>
      <c r="B180" t="s">
        <v>753</v>
      </c>
      <c r="C180" t="s">
        <v>1</v>
      </c>
      <c r="D180" t="s">
        <v>0</v>
      </c>
      <c r="E180">
        <v>1817</v>
      </c>
      <c r="F180" t="s">
        <v>475</v>
      </c>
      <c r="G180" t="s">
        <v>476</v>
      </c>
      <c r="H180" s="3">
        <v>0</v>
      </c>
      <c r="I180" s="3">
        <v>0</v>
      </c>
      <c r="J180" s="3">
        <v>0</v>
      </c>
      <c r="K180" s="3">
        <v>28.08</v>
      </c>
      <c r="L180" s="3">
        <v>0</v>
      </c>
      <c r="M180" s="3">
        <v>0</v>
      </c>
      <c r="N180" s="3">
        <v>0</v>
      </c>
      <c r="O180" s="3">
        <v>3.6503999999999999</v>
      </c>
      <c r="P180" s="3">
        <v>31.730399999999999</v>
      </c>
      <c r="Q180">
        <v>3</v>
      </c>
    </row>
    <row r="181" spans="1:17" x14ac:dyDescent="0.25">
      <c r="A181" t="s">
        <v>744</v>
      </c>
      <c r="B181" t="s">
        <v>753</v>
      </c>
      <c r="C181" t="s">
        <v>1</v>
      </c>
      <c r="D181" t="s">
        <v>0</v>
      </c>
      <c r="E181">
        <v>1851</v>
      </c>
      <c r="F181" t="s">
        <v>475</v>
      </c>
      <c r="G181" t="s">
        <v>476</v>
      </c>
      <c r="H181" s="3">
        <v>0</v>
      </c>
      <c r="I181" s="3">
        <v>0</v>
      </c>
      <c r="J181" s="3">
        <v>0</v>
      </c>
      <c r="K181" s="3">
        <v>83.67</v>
      </c>
      <c r="L181" s="3">
        <v>0</v>
      </c>
      <c r="M181" s="3">
        <v>0</v>
      </c>
      <c r="N181" s="3">
        <v>0</v>
      </c>
      <c r="O181" s="3">
        <v>10.8771</v>
      </c>
      <c r="P181" s="3">
        <v>94.5471</v>
      </c>
      <c r="Q181">
        <v>3</v>
      </c>
    </row>
    <row r="182" spans="1:17" x14ac:dyDescent="0.25">
      <c r="A182" t="s">
        <v>744</v>
      </c>
      <c r="B182" t="s">
        <v>753</v>
      </c>
      <c r="C182" t="s">
        <v>1</v>
      </c>
      <c r="D182" t="s">
        <v>0</v>
      </c>
      <c r="E182">
        <v>1818</v>
      </c>
      <c r="F182" t="s">
        <v>475</v>
      </c>
      <c r="G182" t="s">
        <v>476</v>
      </c>
      <c r="H182" s="3">
        <v>0</v>
      </c>
      <c r="I182" s="3">
        <v>0</v>
      </c>
      <c r="J182" s="3">
        <v>0</v>
      </c>
      <c r="K182" s="3">
        <v>31.44</v>
      </c>
      <c r="L182" s="3">
        <v>0</v>
      </c>
      <c r="M182" s="3">
        <v>0</v>
      </c>
      <c r="N182" s="3">
        <v>0</v>
      </c>
      <c r="O182" s="3">
        <v>4.0872000000000002</v>
      </c>
      <c r="P182" s="3">
        <v>35.527200000000001</v>
      </c>
      <c r="Q182">
        <v>3</v>
      </c>
    </row>
    <row r="183" spans="1:17" x14ac:dyDescent="0.25">
      <c r="A183" t="s">
        <v>744</v>
      </c>
      <c r="B183" t="s">
        <v>753</v>
      </c>
      <c r="C183" t="s">
        <v>1</v>
      </c>
      <c r="D183" t="s">
        <v>0</v>
      </c>
      <c r="E183">
        <v>135804</v>
      </c>
      <c r="F183" t="s">
        <v>774</v>
      </c>
      <c r="G183" t="s">
        <v>775</v>
      </c>
      <c r="H183" s="3">
        <v>0</v>
      </c>
      <c r="I183" s="3">
        <v>0</v>
      </c>
      <c r="J183" s="3">
        <v>0</v>
      </c>
      <c r="K183" s="3">
        <v>92.93</v>
      </c>
      <c r="L183" s="3">
        <v>0</v>
      </c>
      <c r="M183" s="3">
        <v>0</v>
      </c>
      <c r="N183" s="3">
        <v>0</v>
      </c>
      <c r="O183" s="3">
        <v>12.080900000000002</v>
      </c>
      <c r="P183" s="3">
        <v>105.01090000000001</v>
      </c>
      <c r="Q183">
        <v>3</v>
      </c>
    </row>
    <row r="184" spans="1:17" x14ac:dyDescent="0.25">
      <c r="A184" t="s">
        <v>744</v>
      </c>
      <c r="B184" t="s">
        <v>753</v>
      </c>
      <c r="C184" t="s">
        <v>1</v>
      </c>
      <c r="D184" t="s">
        <v>0</v>
      </c>
      <c r="E184">
        <v>174910</v>
      </c>
      <c r="F184" t="s">
        <v>425</v>
      </c>
      <c r="G184" t="s">
        <v>426</v>
      </c>
      <c r="H184" s="3">
        <v>3.18</v>
      </c>
      <c r="I184" s="3">
        <v>0</v>
      </c>
      <c r="J184" s="3">
        <v>0</v>
      </c>
      <c r="K184" s="3">
        <v>34.97</v>
      </c>
      <c r="L184" s="3">
        <v>0</v>
      </c>
      <c r="M184" s="3">
        <v>0</v>
      </c>
      <c r="N184" s="3">
        <v>0</v>
      </c>
      <c r="O184" s="3">
        <v>4.5461</v>
      </c>
      <c r="P184" s="3">
        <v>42.696100000000001</v>
      </c>
      <c r="Q184">
        <v>3</v>
      </c>
    </row>
    <row r="185" spans="1:17" x14ac:dyDescent="0.25">
      <c r="A185" t="s">
        <v>744</v>
      </c>
      <c r="B185" t="s">
        <v>753</v>
      </c>
      <c r="C185" t="s">
        <v>1</v>
      </c>
      <c r="D185" t="s">
        <v>0</v>
      </c>
      <c r="E185">
        <v>174922</v>
      </c>
      <c r="F185" t="s">
        <v>425</v>
      </c>
      <c r="G185" t="s">
        <v>426</v>
      </c>
      <c r="H185" s="3">
        <v>4.6899999999999995</v>
      </c>
      <c r="I185" s="3">
        <v>0</v>
      </c>
      <c r="J185" s="3">
        <v>0</v>
      </c>
      <c r="K185" s="3">
        <v>44.52</v>
      </c>
      <c r="L185" s="3">
        <v>0</v>
      </c>
      <c r="M185" s="3">
        <v>0</v>
      </c>
      <c r="N185" s="3">
        <v>0</v>
      </c>
      <c r="O185" s="3">
        <v>5.7876000000000003</v>
      </c>
      <c r="P185" s="3">
        <v>54.997599999999998</v>
      </c>
      <c r="Q185">
        <v>3</v>
      </c>
    </row>
    <row r="186" spans="1:17" x14ac:dyDescent="0.25">
      <c r="A186" t="s">
        <v>744</v>
      </c>
      <c r="B186" t="s">
        <v>753</v>
      </c>
      <c r="C186" t="s">
        <v>1</v>
      </c>
      <c r="D186" t="s">
        <v>0</v>
      </c>
      <c r="E186">
        <v>65340</v>
      </c>
      <c r="F186" t="s">
        <v>418</v>
      </c>
      <c r="G186" t="s">
        <v>419</v>
      </c>
      <c r="H186" s="3">
        <v>1.45</v>
      </c>
      <c r="I186" s="3">
        <v>0</v>
      </c>
      <c r="J186" s="3">
        <v>0</v>
      </c>
      <c r="K186" s="3">
        <v>13.76</v>
      </c>
      <c r="L186" s="3">
        <v>0</v>
      </c>
      <c r="M186" s="3">
        <v>0</v>
      </c>
      <c r="N186" s="3">
        <v>0</v>
      </c>
      <c r="O186" s="3">
        <v>1.7887999999999999</v>
      </c>
      <c r="P186" s="3">
        <v>16.998799999999999</v>
      </c>
      <c r="Q186">
        <v>3</v>
      </c>
    </row>
    <row r="187" spans="1:17" x14ac:dyDescent="0.25">
      <c r="A187" t="s">
        <v>744</v>
      </c>
      <c r="B187" t="s">
        <v>754</v>
      </c>
      <c r="C187" t="s">
        <v>1</v>
      </c>
      <c r="D187" t="s">
        <v>0</v>
      </c>
      <c r="E187">
        <v>23180</v>
      </c>
      <c r="F187" t="s">
        <v>448</v>
      </c>
      <c r="G187" t="s">
        <v>449</v>
      </c>
      <c r="H187" s="3">
        <v>9.7200000000000006</v>
      </c>
      <c r="I187" s="3">
        <v>0</v>
      </c>
      <c r="J187" s="3">
        <v>0</v>
      </c>
      <c r="K187" s="3">
        <v>92.28</v>
      </c>
      <c r="L187" s="3">
        <v>0</v>
      </c>
      <c r="M187" s="3">
        <v>0</v>
      </c>
      <c r="N187" s="3">
        <v>0</v>
      </c>
      <c r="O187" s="3">
        <v>11.996400000000001</v>
      </c>
      <c r="P187" s="3">
        <v>113.99639999999999</v>
      </c>
      <c r="Q187">
        <v>3</v>
      </c>
    </row>
    <row r="188" spans="1:17" x14ac:dyDescent="0.25">
      <c r="A188" t="s">
        <v>744</v>
      </c>
      <c r="B188" t="s">
        <v>754</v>
      </c>
      <c r="C188" t="s">
        <v>1</v>
      </c>
      <c r="D188" t="s">
        <v>0</v>
      </c>
      <c r="E188">
        <v>16599</v>
      </c>
      <c r="F188" t="s">
        <v>453</v>
      </c>
      <c r="G188" t="s">
        <v>454</v>
      </c>
      <c r="H188" s="3">
        <v>0</v>
      </c>
      <c r="I188" s="3">
        <v>0</v>
      </c>
      <c r="J188" s="3">
        <v>0</v>
      </c>
      <c r="K188" s="3">
        <v>225</v>
      </c>
      <c r="L188" s="3">
        <v>0</v>
      </c>
      <c r="M188" s="3">
        <v>0</v>
      </c>
      <c r="N188" s="3">
        <v>0</v>
      </c>
      <c r="O188" s="3">
        <v>29.25</v>
      </c>
      <c r="P188" s="3">
        <v>254.25</v>
      </c>
      <c r="Q188">
        <v>3</v>
      </c>
    </row>
    <row r="189" spans="1:17" x14ac:dyDescent="0.25">
      <c r="A189" t="s">
        <v>744</v>
      </c>
      <c r="B189" t="s">
        <v>754</v>
      </c>
      <c r="C189" t="s">
        <v>1</v>
      </c>
      <c r="D189" t="s">
        <v>0</v>
      </c>
      <c r="E189">
        <v>65671</v>
      </c>
      <c r="F189" t="s">
        <v>418</v>
      </c>
      <c r="G189" t="s">
        <v>419</v>
      </c>
      <c r="H189" s="3">
        <v>1.47</v>
      </c>
      <c r="I189" s="3">
        <v>0</v>
      </c>
      <c r="J189" s="3">
        <v>0</v>
      </c>
      <c r="K189" s="3">
        <v>15.52</v>
      </c>
      <c r="L189" s="3">
        <v>0</v>
      </c>
      <c r="M189" s="3">
        <v>0</v>
      </c>
      <c r="N189" s="3">
        <v>0</v>
      </c>
      <c r="O189" s="3">
        <v>2.0175999999999998</v>
      </c>
      <c r="P189" s="3">
        <v>19.007599999999996</v>
      </c>
      <c r="Q189">
        <v>3</v>
      </c>
    </row>
    <row r="190" spans="1:17" x14ac:dyDescent="0.25">
      <c r="A190" t="s">
        <v>744</v>
      </c>
      <c r="B190" t="s">
        <v>754</v>
      </c>
      <c r="C190" t="s">
        <v>1</v>
      </c>
      <c r="D190" t="s">
        <v>0</v>
      </c>
      <c r="E190">
        <v>65669</v>
      </c>
      <c r="F190" t="s">
        <v>418</v>
      </c>
      <c r="G190" t="s">
        <v>419</v>
      </c>
      <c r="H190" s="3">
        <v>8.5500000000000007</v>
      </c>
      <c r="I190" s="3">
        <v>0</v>
      </c>
      <c r="J190" s="3">
        <v>0</v>
      </c>
      <c r="K190" s="3">
        <v>81.239999999999995</v>
      </c>
      <c r="L190" s="3">
        <v>0</v>
      </c>
      <c r="M190" s="3">
        <v>0</v>
      </c>
      <c r="N190" s="3">
        <v>0</v>
      </c>
      <c r="O190" s="3">
        <v>10.561199999999999</v>
      </c>
      <c r="P190" s="3">
        <v>100.35119999999999</v>
      </c>
      <c r="Q190">
        <v>3</v>
      </c>
    </row>
    <row r="191" spans="1:17" x14ac:dyDescent="0.25">
      <c r="A191" t="s">
        <v>744</v>
      </c>
      <c r="B191" t="s">
        <v>755</v>
      </c>
      <c r="C191" t="s">
        <v>1</v>
      </c>
      <c r="D191" t="s">
        <v>0</v>
      </c>
      <c r="E191">
        <v>395191</v>
      </c>
      <c r="F191" t="s">
        <v>563</v>
      </c>
      <c r="G191" t="s">
        <v>564</v>
      </c>
      <c r="H191" s="3">
        <v>0</v>
      </c>
      <c r="I191" s="3">
        <v>0</v>
      </c>
      <c r="J191" s="3">
        <v>0</v>
      </c>
      <c r="K191" s="3">
        <v>3.57</v>
      </c>
      <c r="L191" s="3">
        <v>0</v>
      </c>
      <c r="M191" s="3">
        <v>0</v>
      </c>
      <c r="N191" s="3">
        <v>0</v>
      </c>
      <c r="O191" s="3">
        <v>0.46410000000000001</v>
      </c>
      <c r="P191" s="3">
        <v>4.0340999999999996</v>
      </c>
      <c r="Q191">
        <v>3</v>
      </c>
    </row>
    <row r="192" spans="1:17" x14ac:dyDescent="0.25">
      <c r="A192" t="s">
        <v>744</v>
      </c>
      <c r="B192" t="s">
        <v>755</v>
      </c>
      <c r="C192" t="s">
        <v>1</v>
      </c>
      <c r="D192" t="s">
        <v>0</v>
      </c>
      <c r="E192">
        <v>219241</v>
      </c>
      <c r="F192" t="s">
        <v>440</v>
      </c>
      <c r="G192" t="s">
        <v>441</v>
      </c>
      <c r="H192" s="3">
        <v>2.91</v>
      </c>
      <c r="I192" s="3">
        <v>0</v>
      </c>
      <c r="J192" s="3">
        <v>0</v>
      </c>
      <c r="K192" s="3">
        <v>27.51</v>
      </c>
      <c r="L192" s="3">
        <v>0</v>
      </c>
      <c r="M192" s="3">
        <v>0</v>
      </c>
      <c r="N192" s="3">
        <v>0</v>
      </c>
      <c r="O192" s="3">
        <v>3.5763000000000003</v>
      </c>
      <c r="P192" s="3">
        <v>33.996300000000005</v>
      </c>
      <c r="Q192">
        <v>3</v>
      </c>
    </row>
    <row r="193" spans="1:17" x14ac:dyDescent="0.25">
      <c r="A193" t="s">
        <v>744</v>
      </c>
      <c r="B193" t="s">
        <v>755</v>
      </c>
      <c r="C193" t="s">
        <v>1</v>
      </c>
      <c r="D193" t="s">
        <v>0</v>
      </c>
      <c r="E193">
        <v>84</v>
      </c>
      <c r="F193" t="s">
        <v>780</v>
      </c>
      <c r="G193" t="s">
        <v>781</v>
      </c>
      <c r="H193" s="3">
        <v>0</v>
      </c>
      <c r="I193" s="3">
        <v>0</v>
      </c>
      <c r="J193" s="3">
        <v>0</v>
      </c>
      <c r="K193" s="3">
        <v>238.94</v>
      </c>
      <c r="L193" s="3">
        <v>0</v>
      </c>
      <c r="M193" s="3">
        <v>0</v>
      </c>
      <c r="N193" s="3">
        <v>0</v>
      </c>
      <c r="O193" s="3">
        <v>31.062200000000001</v>
      </c>
      <c r="P193" s="3">
        <v>270.00220000000002</v>
      </c>
      <c r="Q193">
        <v>3</v>
      </c>
    </row>
    <row r="194" spans="1:17" x14ac:dyDescent="0.25">
      <c r="A194" t="s">
        <v>744</v>
      </c>
      <c r="B194" t="s">
        <v>755</v>
      </c>
      <c r="C194" t="s">
        <v>1</v>
      </c>
      <c r="D194" t="s">
        <v>0</v>
      </c>
      <c r="E194">
        <v>6885</v>
      </c>
      <c r="F194" t="s">
        <v>776</v>
      </c>
      <c r="G194" t="s">
        <v>777</v>
      </c>
      <c r="H194" s="3">
        <v>0</v>
      </c>
      <c r="I194" s="3">
        <v>0</v>
      </c>
      <c r="J194" s="3">
        <v>0</v>
      </c>
      <c r="K194" s="3">
        <v>15.91</v>
      </c>
      <c r="L194" s="3">
        <v>0</v>
      </c>
      <c r="M194" s="3">
        <v>0</v>
      </c>
      <c r="N194" s="3">
        <v>0</v>
      </c>
      <c r="O194" s="3">
        <v>2.0683000000000002</v>
      </c>
      <c r="P194" s="3">
        <v>17.978300000000001</v>
      </c>
      <c r="Q194">
        <v>3</v>
      </c>
    </row>
    <row r="195" spans="1:17" x14ac:dyDescent="0.25">
      <c r="A195" t="s">
        <v>744</v>
      </c>
      <c r="B195" t="s">
        <v>755</v>
      </c>
      <c r="C195" t="s">
        <v>1</v>
      </c>
      <c r="D195" t="s">
        <v>0</v>
      </c>
      <c r="E195">
        <v>175174</v>
      </c>
      <c r="F195" t="s">
        <v>425</v>
      </c>
      <c r="G195" t="s">
        <v>426</v>
      </c>
      <c r="H195" s="3">
        <v>2.72</v>
      </c>
      <c r="I195" s="3">
        <v>0</v>
      </c>
      <c r="J195" s="3">
        <v>0</v>
      </c>
      <c r="K195" s="3">
        <v>25.91</v>
      </c>
      <c r="L195" s="3">
        <v>0</v>
      </c>
      <c r="M195" s="3">
        <v>0</v>
      </c>
      <c r="N195" s="3">
        <v>0</v>
      </c>
      <c r="O195" s="3">
        <v>3.3683000000000001</v>
      </c>
      <c r="P195" s="3">
        <v>31.9983</v>
      </c>
      <c r="Q195">
        <v>3</v>
      </c>
    </row>
    <row r="196" spans="1:17" x14ac:dyDescent="0.25">
      <c r="A196" t="s">
        <v>744</v>
      </c>
      <c r="B196" t="s">
        <v>755</v>
      </c>
      <c r="C196" t="s">
        <v>1</v>
      </c>
      <c r="D196" t="s">
        <v>0</v>
      </c>
      <c r="E196">
        <v>65832</v>
      </c>
      <c r="F196" t="s">
        <v>418</v>
      </c>
      <c r="G196" t="s">
        <v>419</v>
      </c>
      <c r="H196" s="3">
        <v>8.67</v>
      </c>
      <c r="I196" s="3">
        <v>0</v>
      </c>
      <c r="J196" s="3">
        <v>0</v>
      </c>
      <c r="K196" s="3">
        <v>82.4</v>
      </c>
      <c r="L196" s="3">
        <v>0</v>
      </c>
      <c r="M196" s="3">
        <v>0</v>
      </c>
      <c r="N196" s="3">
        <v>0</v>
      </c>
      <c r="O196" s="3">
        <v>10.712000000000002</v>
      </c>
      <c r="P196" s="3">
        <v>101.78200000000001</v>
      </c>
      <c r="Q196">
        <v>3</v>
      </c>
    </row>
    <row r="197" spans="1:17" x14ac:dyDescent="0.25">
      <c r="A197" t="s">
        <v>744</v>
      </c>
      <c r="B197" t="s">
        <v>756</v>
      </c>
      <c r="C197" t="s">
        <v>1</v>
      </c>
      <c r="D197" t="s">
        <v>0</v>
      </c>
      <c r="E197">
        <v>1845</v>
      </c>
      <c r="F197" t="s">
        <v>475</v>
      </c>
      <c r="G197" t="s">
        <v>476</v>
      </c>
      <c r="H197" s="3">
        <v>0</v>
      </c>
      <c r="I197" s="3">
        <v>0</v>
      </c>
      <c r="J197" s="3">
        <v>0</v>
      </c>
      <c r="K197" s="3">
        <v>56.26</v>
      </c>
      <c r="L197" s="3">
        <v>0</v>
      </c>
      <c r="M197" s="3">
        <v>0</v>
      </c>
      <c r="N197" s="3">
        <v>0</v>
      </c>
      <c r="O197" s="3">
        <v>7.3137999999999996</v>
      </c>
      <c r="P197" s="3">
        <v>63.573799999999999</v>
      </c>
      <c r="Q197">
        <v>3</v>
      </c>
    </row>
    <row r="198" spans="1:17" x14ac:dyDescent="0.25">
      <c r="A198" t="s">
        <v>744</v>
      </c>
      <c r="B198" t="s">
        <v>756</v>
      </c>
      <c r="C198" t="s">
        <v>1</v>
      </c>
      <c r="D198" t="s">
        <v>0</v>
      </c>
      <c r="E198">
        <v>1844</v>
      </c>
      <c r="F198" t="s">
        <v>475</v>
      </c>
      <c r="G198" t="s">
        <v>476</v>
      </c>
      <c r="H198" s="3">
        <v>0</v>
      </c>
      <c r="I198" s="3">
        <v>0</v>
      </c>
      <c r="J198" s="3">
        <v>0</v>
      </c>
      <c r="K198" s="3">
        <v>56.26</v>
      </c>
      <c r="L198" s="3">
        <v>0</v>
      </c>
      <c r="M198" s="3">
        <v>0</v>
      </c>
      <c r="N198" s="3">
        <v>0</v>
      </c>
      <c r="O198" s="3">
        <v>7.3137999999999996</v>
      </c>
      <c r="P198" s="3">
        <v>63.573799999999999</v>
      </c>
      <c r="Q198">
        <v>3</v>
      </c>
    </row>
    <row r="199" spans="1:17" x14ac:dyDescent="0.25">
      <c r="A199" t="s">
        <v>744</v>
      </c>
      <c r="B199" t="s">
        <v>756</v>
      </c>
      <c r="C199" t="s">
        <v>1</v>
      </c>
      <c r="D199" t="s">
        <v>0</v>
      </c>
      <c r="E199">
        <v>1841</v>
      </c>
      <c r="F199" t="s">
        <v>475</v>
      </c>
      <c r="G199" t="s">
        <v>476</v>
      </c>
      <c r="H199" s="3">
        <v>0</v>
      </c>
      <c r="I199" s="3">
        <v>0</v>
      </c>
      <c r="J199" s="3">
        <v>0</v>
      </c>
      <c r="K199" s="3">
        <v>46.61</v>
      </c>
      <c r="L199" s="3">
        <v>0</v>
      </c>
      <c r="M199" s="3">
        <v>0</v>
      </c>
      <c r="N199" s="3">
        <v>0</v>
      </c>
      <c r="O199" s="3">
        <v>6.0593000000000004</v>
      </c>
      <c r="P199" s="3">
        <v>52.6693</v>
      </c>
      <c r="Q199">
        <v>3</v>
      </c>
    </row>
    <row r="200" spans="1:17" x14ac:dyDescent="0.25">
      <c r="A200" t="s">
        <v>744</v>
      </c>
      <c r="B200" t="s">
        <v>756</v>
      </c>
      <c r="C200" t="s">
        <v>1</v>
      </c>
      <c r="D200" t="s">
        <v>0</v>
      </c>
      <c r="E200">
        <v>175351</v>
      </c>
      <c r="F200" t="s">
        <v>425</v>
      </c>
      <c r="G200" t="s">
        <v>426</v>
      </c>
      <c r="H200" s="3">
        <v>4.03</v>
      </c>
      <c r="I200" s="3">
        <v>0</v>
      </c>
      <c r="J200" s="3">
        <v>0</v>
      </c>
      <c r="K200" s="3">
        <v>38.22</v>
      </c>
      <c r="L200" s="3">
        <v>0</v>
      </c>
      <c r="M200" s="3">
        <v>0</v>
      </c>
      <c r="N200" s="3">
        <v>0</v>
      </c>
      <c r="O200" s="3">
        <v>4.9686000000000003</v>
      </c>
      <c r="P200" s="3">
        <v>47.218600000000002</v>
      </c>
      <c r="Q200">
        <v>3</v>
      </c>
    </row>
    <row r="201" spans="1:17" x14ac:dyDescent="0.25">
      <c r="A201" t="s">
        <v>744</v>
      </c>
      <c r="B201" t="s">
        <v>756</v>
      </c>
      <c r="C201" t="s">
        <v>1</v>
      </c>
      <c r="D201" t="s">
        <v>0</v>
      </c>
      <c r="E201">
        <v>66089</v>
      </c>
      <c r="F201" t="s">
        <v>418</v>
      </c>
      <c r="G201" t="s">
        <v>419</v>
      </c>
      <c r="H201" s="3">
        <v>4.17</v>
      </c>
      <c r="I201" s="3">
        <v>0</v>
      </c>
      <c r="J201" s="3">
        <v>0</v>
      </c>
      <c r="K201" s="3">
        <v>39.549999999999997</v>
      </c>
      <c r="L201" s="3">
        <v>0</v>
      </c>
      <c r="M201" s="3">
        <v>0</v>
      </c>
      <c r="N201" s="3">
        <v>0</v>
      </c>
      <c r="O201" s="3">
        <v>5.1414999999999997</v>
      </c>
      <c r="P201" s="3">
        <v>48.861499999999999</v>
      </c>
      <c r="Q201">
        <v>3</v>
      </c>
    </row>
    <row r="202" spans="1:17" x14ac:dyDescent="0.25">
      <c r="A202" t="s">
        <v>744</v>
      </c>
      <c r="B202" t="s">
        <v>757</v>
      </c>
      <c r="C202" t="s">
        <v>1</v>
      </c>
      <c r="D202" t="s">
        <v>0</v>
      </c>
      <c r="E202">
        <v>1850</v>
      </c>
      <c r="F202" t="s">
        <v>475</v>
      </c>
      <c r="G202" t="s">
        <v>476</v>
      </c>
      <c r="H202" s="3">
        <v>0</v>
      </c>
      <c r="I202" s="3">
        <v>0</v>
      </c>
      <c r="J202" s="3">
        <v>0</v>
      </c>
      <c r="K202" s="3">
        <v>83.67</v>
      </c>
      <c r="L202" s="3">
        <v>0</v>
      </c>
      <c r="M202" s="3">
        <v>0</v>
      </c>
      <c r="N202" s="3">
        <v>0</v>
      </c>
      <c r="O202" s="3">
        <v>10.8771</v>
      </c>
      <c r="P202" s="3">
        <v>94.5471</v>
      </c>
      <c r="Q202">
        <v>3</v>
      </c>
    </row>
    <row r="203" spans="1:17" x14ac:dyDescent="0.25">
      <c r="A203" t="s">
        <v>744</v>
      </c>
      <c r="B203" t="s">
        <v>757</v>
      </c>
      <c r="C203" t="s">
        <v>1</v>
      </c>
      <c r="D203" t="s">
        <v>0</v>
      </c>
      <c r="E203">
        <v>1852</v>
      </c>
      <c r="F203" t="s">
        <v>475</v>
      </c>
      <c r="G203" t="s">
        <v>476</v>
      </c>
      <c r="H203" s="3">
        <v>0</v>
      </c>
      <c r="I203" s="3">
        <v>0</v>
      </c>
      <c r="J203" s="3">
        <v>0</v>
      </c>
      <c r="K203" s="3">
        <v>28.08</v>
      </c>
      <c r="L203" s="3">
        <v>0</v>
      </c>
      <c r="M203" s="3">
        <v>0</v>
      </c>
      <c r="N203" s="3">
        <v>0</v>
      </c>
      <c r="O203" s="3">
        <v>3.6503999999999999</v>
      </c>
      <c r="P203" s="3">
        <v>31.730399999999999</v>
      </c>
      <c r="Q203">
        <v>3</v>
      </c>
    </row>
    <row r="204" spans="1:17" x14ac:dyDescent="0.25">
      <c r="A204" t="s">
        <v>744</v>
      </c>
      <c r="B204" t="s">
        <v>757</v>
      </c>
      <c r="C204" t="s">
        <v>1</v>
      </c>
      <c r="D204" t="s">
        <v>0</v>
      </c>
      <c r="E204">
        <v>1855</v>
      </c>
      <c r="F204" t="s">
        <v>475</v>
      </c>
      <c r="G204" t="s">
        <v>476</v>
      </c>
      <c r="H204" s="3">
        <v>0</v>
      </c>
      <c r="I204" s="3">
        <v>0</v>
      </c>
      <c r="J204" s="3">
        <v>0</v>
      </c>
      <c r="K204" s="3">
        <v>67.67</v>
      </c>
      <c r="L204" s="3">
        <v>0</v>
      </c>
      <c r="M204" s="3">
        <v>0</v>
      </c>
      <c r="N204" s="3">
        <v>0</v>
      </c>
      <c r="O204" s="3">
        <v>8.7971000000000004</v>
      </c>
      <c r="P204" s="3">
        <v>76.467100000000002</v>
      </c>
      <c r="Q204">
        <v>3</v>
      </c>
    </row>
    <row r="205" spans="1:17" x14ac:dyDescent="0.25">
      <c r="A205" t="s">
        <v>744</v>
      </c>
      <c r="B205" t="s">
        <v>757</v>
      </c>
      <c r="C205" t="s">
        <v>1</v>
      </c>
      <c r="D205" t="s">
        <v>0</v>
      </c>
      <c r="E205">
        <v>11818</v>
      </c>
      <c r="F205" t="s">
        <v>451</v>
      </c>
      <c r="G205" t="s">
        <v>452</v>
      </c>
      <c r="H205" s="3">
        <v>0</v>
      </c>
      <c r="I205" s="3">
        <v>0</v>
      </c>
      <c r="J205" s="3">
        <v>0</v>
      </c>
      <c r="K205" s="3">
        <v>128.93</v>
      </c>
      <c r="L205" s="3">
        <v>0</v>
      </c>
      <c r="M205" s="3">
        <v>0</v>
      </c>
      <c r="N205" s="3">
        <v>0</v>
      </c>
      <c r="O205" s="3">
        <v>16.760900000000003</v>
      </c>
      <c r="P205" s="3">
        <v>145.6909</v>
      </c>
      <c r="Q205">
        <v>3</v>
      </c>
    </row>
    <row r="206" spans="1:17" x14ac:dyDescent="0.25">
      <c r="A206" t="s">
        <v>744</v>
      </c>
      <c r="B206" t="s">
        <v>757</v>
      </c>
      <c r="C206" t="s">
        <v>1</v>
      </c>
      <c r="D206" t="s">
        <v>0</v>
      </c>
      <c r="E206">
        <v>66548</v>
      </c>
      <c r="F206" t="s">
        <v>418</v>
      </c>
      <c r="G206" t="s">
        <v>419</v>
      </c>
      <c r="H206" s="3">
        <v>1.98</v>
      </c>
      <c r="I206" s="3">
        <v>0</v>
      </c>
      <c r="J206" s="3">
        <v>0</v>
      </c>
      <c r="K206" s="3">
        <v>17.72</v>
      </c>
      <c r="L206" s="3">
        <v>0</v>
      </c>
      <c r="M206" s="3">
        <v>0</v>
      </c>
      <c r="N206" s="3">
        <v>0</v>
      </c>
      <c r="O206" s="3">
        <v>2.3035999999999999</v>
      </c>
      <c r="P206" s="3">
        <v>22.003599999999999</v>
      </c>
      <c r="Q206">
        <v>3</v>
      </c>
    </row>
    <row r="207" spans="1:17" x14ac:dyDescent="0.25">
      <c r="A207" t="s">
        <v>744</v>
      </c>
      <c r="B207" t="s">
        <v>757</v>
      </c>
      <c r="C207" t="s">
        <v>1</v>
      </c>
      <c r="D207" t="s">
        <v>0</v>
      </c>
      <c r="E207">
        <v>66249</v>
      </c>
      <c r="F207" t="s">
        <v>418</v>
      </c>
      <c r="G207" t="s">
        <v>419</v>
      </c>
      <c r="H207" s="3">
        <v>7.1000000000000005</v>
      </c>
      <c r="I207" s="3">
        <v>0</v>
      </c>
      <c r="J207" s="3">
        <v>0</v>
      </c>
      <c r="K207" s="3">
        <v>63.63</v>
      </c>
      <c r="L207" s="3">
        <v>0</v>
      </c>
      <c r="M207" s="3">
        <v>0</v>
      </c>
      <c r="N207" s="3">
        <v>0</v>
      </c>
      <c r="O207" s="3">
        <v>8.2719000000000005</v>
      </c>
      <c r="P207" s="3">
        <v>79.001900000000006</v>
      </c>
      <c r="Q207">
        <v>3</v>
      </c>
    </row>
    <row r="208" spans="1:17" x14ac:dyDescent="0.25">
      <c r="A208" t="s">
        <v>744</v>
      </c>
      <c r="B208" t="s">
        <v>758</v>
      </c>
      <c r="C208" t="s">
        <v>1</v>
      </c>
      <c r="D208" t="s">
        <v>0</v>
      </c>
      <c r="E208">
        <v>2613</v>
      </c>
      <c r="F208" t="s">
        <v>561</v>
      </c>
      <c r="G208" t="s">
        <v>562</v>
      </c>
      <c r="H208" s="3">
        <v>0</v>
      </c>
      <c r="I208" s="3">
        <v>0</v>
      </c>
      <c r="J208" s="3">
        <v>0</v>
      </c>
      <c r="K208" s="3">
        <v>28.32</v>
      </c>
      <c r="L208" s="3">
        <v>0</v>
      </c>
      <c r="M208" s="3">
        <v>0</v>
      </c>
      <c r="N208" s="3">
        <v>0</v>
      </c>
      <c r="O208" s="3">
        <v>3.6816</v>
      </c>
      <c r="P208" s="3">
        <v>32.001600000000003</v>
      </c>
      <c r="Q208">
        <v>3</v>
      </c>
    </row>
    <row r="209" spans="1:17" x14ac:dyDescent="0.25">
      <c r="A209" t="s">
        <v>744</v>
      </c>
      <c r="B209" t="s">
        <v>758</v>
      </c>
      <c r="C209" t="s">
        <v>1</v>
      </c>
      <c r="D209" t="s">
        <v>0</v>
      </c>
      <c r="E209">
        <v>66685</v>
      </c>
      <c r="F209" t="s">
        <v>418</v>
      </c>
      <c r="G209" t="s">
        <v>419</v>
      </c>
      <c r="H209" s="3">
        <v>8.4499999999999993</v>
      </c>
      <c r="I209" s="3">
        <v>0</v>
      </c>
      <c r="J209" s="3">
        <v>0</v>
      </c>
      <c r="K209" s="3">
        <v>75.709999999999994</v>
      </c>
      <c r="L209" s="3">
        <v>0</v>
      </c>
      <c r="M209" s="3">
        <v>0</v>
      </c>
      <c r="N209" s="3">
        <v>0</v>
      </c>
      <c r="O209" s="3">
        <v>9.8422999999999998</v>
      </c>
      <c r="P209" s="3">
        <v>94.002299999999991</v>
      </c>
      <c r="Q209">
        <v>3</v>
      </c>
    </row>
    <row r="210" spans="1:17" x14ac:dyDescent="0.25">
      <c r="A210" t="s">
        <v>744</v>
      </c>
      <c r="B210" t="s">
        <v>759</v>
      </c>
      <c r="C210" t="s">
        <v>1</v>
      </c>
      <c r="D210" t="s">
        <v>0</v>
      </c>
      <c r="E210">
        <v>1629</v>
      </c>
      <c r="F210" t="s">
        <v>559</v>
      </c>
      <c r="G210" t="s">
        <v>560</v>
      </c>
      <c r="H210" s="3">
        <v>0</v>
      </c>
      <c r="I210" s="3">
        <v>0</v>
      </c>
      <c r="J210" s="3">
        <v>0</v>
      </c>
      <c r="K210" s="3">
        <v>9.1999999999999993</v>
      </c>
      <c r="L210" s="3">
        <v>0</v>
      </c>
      <c r="M210" s="3">
        <v>0</v>
      </c>
      <c r="N210" s="3">
        <v>0</v>
      </c>
      <c r="O210" s="3">
        <v>1.196</v>
      </c>
      <c r="P210" s="3">
        <v>10.395999999999999</v>
      </c>
      <c r="Q210">
        <v>3</v>
      </c>
    </row>
    <row r="211" spans="1:17" x14ac:dyDescent="0.25">
      <c r="A211" t="s">
        <v>744</v>
      </c>
      <c r="B211" t="s">
        <v>759</v>
      </c>
      <c r="C211" t="s">
        <v>1</v>
      </c>
      <c r="D211" t="s">
        <v>0</v>
      </c>
      <c r="E211">
        <v>1877</v>
      </c>
      <c r="F211" t="s">
        <v>475</v>
      </c>
      <c r="G211" t="s">
        <v>476</v>
      </c>
      <c r="H211" s="3">
        <v>0</v>
      </c>
      <c r="I211" s="3">
        <v>0</v>
      </c>
      <c r="J211" s="3">
        <v>0</v>
      </c>
      <c r="K211" s="3">
        <v>56.26</v>
      </c>
      <c r="L211" s="3">
        <v>0</v>
      </c>
      <c r="M211" s="3">
        <v>0</v>
      </c>
      <c r="N211" s="3">
        <v>0</v>
      </c>
      <c r="O211" s="3">
        <v>7.3137999999999996</v>
      </c>
      <c r="P211" s="3">
        <v>63.573799999999999</v>
      </c>
      <c r="Q211">
        <v>3</v>
      </c>
    </row>
    <row r="212" spans="1:17" x14ac:dyDescent="0.25">
      <c r="A212" t="s">
        <v>744</v>
      </c>
      <c r="B212" t="s">
        <v>759</v>
      </c>
      <c r="C212" t="s">
        <v>1</v>
      </c>
      <c r="D212" t="s">
        <v>0</v>
      </c>
      <c r="E212">
        <v>1878</v>
      </c>
      <c r="F212" t="s">
        <v>475</v>
      </c>
      <c r="G212" t="s">
        <v>476</v>
      </c>
      <c r="H212" s="3">
        <v>0</v>
      </c>
      <c r="I212" s="3">
        <v>0</v>
      </c>
      <c r="J212" s="3">
        <v>0</v>
      </c>
      <c r="K212" s="3">
        <v>33.409999999999997</v>
      </c>
      <c r="L212" s="3">
        <v>0</v>
      </c>
      <c r="M212" s="3">
        <v>0</v>
      </c>
      <c r="N212" s="3">
        <v>0</v>
      </c>
      <c r="O212" s="3">
        <v>4.3432999999999993</v>
      </c>
      <c r="P212" s="3">
        <v>37.753299999999996</v>
      </c>
      <c r="Q212">
        <v>3</v>
      </c>
    </row>
    <row r="213" spans="1:17" x14ac:dyDescent="0.25">
      <c r="A213" t="s">
        <v>744</v>
      </c>
      <c r="B213" t="s">
        <v>759</v>
      </c>
      <c r="C213" t="s">
        <v>1</v>
      </c>
      <c r="D213" t="s">
        <v>0</v>
      </c>
      <c r="E213">
        <v>6043829</v>
      </c>
      <c r="F213" t="s">
        <v>471</v>
      </c>
      <c r="G213" t="s">
        <v>472</v>
      </c>
      <c r="H213" s="3">
        <v>0</v>
      </c>
      <c r="I213" s="3">
        <v>0</v>
      </c>
      <c r="J213" s="3">
        <v>0</v>
      </c>
      <c r="K213" s="3">
        <v>165.8</v>
      </c>
      <c r="L213" s="3">
        <v>0</v>
      </c>
      <c r="M213" s="3">
        <v>0</v>
      </c>
      <c r="N213" s="3">
        <v>0</v>
      </c>
      <c r="O213" s="3">
        <v>21.554000000000002</v>
      </c>
      <c r="P213" s="3">
        <v>187.35400000000001</v>
      </c>
      <c r="Q213">
        <v>3</v>
      </c>
    </row>
    <row r="214" spans="1:17" x14ac:dyDescent="0.25">
      <c r="A214" t="s">
        <v>744</v>
      </c>
      <c r="B214" t="s">
        <v>759</v>
      </c>
      <c r="C214" t="s">
        <v>1</v>
      </c>
      <c r="D214" t="s">
        <v>0</v>
      </c>
      <c r="E214">
        <v>1196</v>
      </c>
      <c r="F214" t="s">
        <v>479</v>
      </c>
      <c r="G214" t="s">
        <v>480</v>
      </c>
      <c r="H214" s="3">
        <v>0</v>
      </c>
      <c r="I214" s="3">
        <v>0</v>
      </c>
      <c r="J214" s="3">
        <v>0</v>
      </c>
      <c r="K214" s="3">
        <v>132.74</v>
      </c>
      <c r="L214" s="3">
        <v>0</v>
      </c>
      <c r="M214" s="3">
        <v>0</v>
      </c>
      <c r="N214" s="3">
        <v>0</v>
      </c>
      <c r="O214" s="3">
        <v>17.256200000000003</v>
      </c>
      <c r="P214" s="3">
        <v>149.99620000000002</v>
      </c>
      <c r="Q214">
        <v>3</v>
      </c>
    </row>
    <row r="215" spans="1:17" x14ac:dyDescent="0.25">
      <c r="A215" t="s">
        <v>744</v>
      </c>
      <c r="B215" t="s">
        <v>759</v>
      </c>
      <c r="C215" t="s">
        <v>1</v>
      </c>
      <c r="D215" t="s">
        <v>0</v>
      </c>
      <c r="E215">
        <v>66928</v>
      </c>
      <c r="F215" t="s">
        <v>418</v>
      </c>
      <c r="G215" t="s">
        <v>419</v>
      </c>
      <c r="H215" s="3">
        <v>1.35</v>
      </c>
      <c r="I215" s="3">
        <v>0</v>
      </c>
      <c r="J215" s="3">
        <v>0</v>
      </c>
      <c r="K215" s="3">
        <v>12.08</v>
      </c>
      <c r="L215" s="3">
        <v>0</v>
      </c>
      <c r="M215" s="3">
        <v>0</v>
      </c>
      <c r="N215" s="3">
        <v>0</v>
      </c>
      <c r="O215" s="3">
        <v>1.5704</v>
      </c>
      <c r="P215" s="3">
        <v>15.000399999999999</v>
      </c>
      <c r="Q215">
        <v>3</v>
      </c>
    </row>
    <row r="216" spans="1:17" x14ac:dyDescent="0.25">
      <c r="A216" t="s">
        <v>744</v>
      </c>
      <c r="B216" t="s">
        <v>759</v>
      </c>
      <c r="C216" t="s">
        <v>1</v>
      </c>
      <c r="D216" t="s">
        <v>0</v>
      </c>
      <c r="E216">
        <v>66972</v>
      </c>
      <c r="F216" t="s">
        <v>418</v>
      </c>
      <c r="G216" t="s">
        <v>419</v>
      </c>
      <c r="H216" s="3">
        <v>4.84</v>
      </c>
      <c r="I216" s="3">
        <v>0</v>
      </c>
      <c r="J216" s="3">
        <v>0</v>
      </c>
      <c r="K216" s="3">
        <v>43.38</v>
      </c>
      <c r="L216" s="3">
        <v>0</v>
      </c>
      <c r="M216" s="3">
        <v>0</v>
      </c>
      <c r="N216" s="3">
        <v>0</v>
      </c>
      <c r="O216" s="3">
        <v>5.6394000000000002</v>
      </c>
      <c r="P216" s="3">
        <v>53.859400000000001</v>
      </c>
      <c r="Q216">
        <v>3</v>
      </c>
    </row>
    <row r="217" spans="1:17" x14ac:dyDescent="0.25">
      <c r="A217" t="s">
        <v>744</v>
      </c>
      <c r="B217" t="s">
        <v>760</v>
      </c>
      <c r="C217" t="s">
        <v>1</v>
      </c>
      <c r="D217" t="s">
        <v>0</v>
      </c>
      <c r="E217">
        <v>1884</v>
      </c>
      <c r="F217" t="s">
        <v>475</v>
      </c>
      <c r="G217" t="s">
        <v>476</v>
      </c>
      <c r="H217" s="3">
        <v>0</v>
      </c>
      <c r="I217" s="3">
        <v>0</v>
      </c>
      <c r="J217" s="3">
        <v>0</v>
      </c>
      <c r="K217" s="3">
        <v>46.05</v>
      </c>
      <c r="L217" s="3">
        <v>0</v>
      </c>
      <c r="M217" s="3">
        <v>0</v>
      </c>
      <c r="N217" s="3">
        <v>0</v>
      </c>
      <c r="O217" s="3">
        <v>5.9864999999999995</v>
      </c>
      <c r="P217" s="3">
        <v>52.036499999999997</v>
      </c>
      <c r="Q217">
        <v>3</v>
      </c>
    </row>
    <row r="218" spans="1:17" x14ac:dyDescent="0.25">
      <c r="A218" t="s">
        <v>744</v>
      </c>
      <c r="B218" t="s">
        <v>760</v>
      </c>
      <c r="C218" t="s">
        <v>1</v>
      </c>
      <c r="D218" t="s">
        <v>0</v>
      </c>
      <c r="E218">
        <v>23895</v>
      </c>
      <c r="F218" t="s">
        <v>448</v>
      </c>
      <c r="G218" t="s">
        <v>449</v>
      </c>
      <c r="H218" s="3">
        <v>8.98</v>
      </c>
      <c r="I218" s="3">
        <v>0</v>
      </c>
      <c r="J218" s="3">
        <v>0</v>
      </c>
      <c r="K218" s="3">
        <v>80.55</v>
      </c>
      <c r="L218" s="3">
        <v>0</v>
      </c>
      <c r="M218" s="3">
        <v>0</v>
      </c>
      <c r="N218" s="3">
        <v>0</v>
      </c>
      <c r="O218" s="3">
        <v>10.471500000000001</v>
      </c>
      <c r="P218" s="3">
        <v>100.00150000000001</v>
      </c>
      <c r="Q218">
        <v>3</v>
      </c>
    </row>
    <row r="219" spans="1:17" x14ac:dyDescent="0.25">
      <c r="A219" t="s">
        <v>744</v>
      </c>
      <c r="B219" t="s">
        <v>760</v>
      </c>
      <c r="C219" t="s">
        <v>1</v>
      </c>
      <c r="D219" t="s">
        <v>0</v>
      </c>
      <c r="E219">
        <v>5177276</v>
      </c>
      <c r="F219" t="s">
        <v>774</v>
      </c>
      <c r="G219" t="s">
        <v>775</v>
      </c>
      <c r="H219" s="3">
        <v>0</v>
      </c>
      <c r="I219" s="3">
        <v>0</v>
      </c>
      <c r="J219" s="3">
        <v>0</v>
      </c>
      <c r="K219" s="3">
        <v>89.19</v>
      </c>
      <c r="L219" s="3">
        <v>0</v>
      </c>
      <c r="M219" s="3">
        <v>0</v>
      </c>
      <c r="N219" s="3">
        <v>0</v>
      </c>
      <c r="O219" s="3">
        <v>11.5947</v>
      </c>
      <c r="P219" s="3">
        <v>100.7847</v>
      </c>
      <c r="Q219">
        <v>3</v>
      </c>
    </row>
    <row r="220" spans="1:17" x14ac:dyDescent="0.25">
      <c r="A220" t="s">
        <v>744</v>
      </c>
      <c r="B220" t="s">
        <v>760</v>
      </c>
      <c r="C220" t="s">
        <v>1</v>
      </c>
      <c r="D220" t="s">
        <v>0</v>
      </c>
      <c r="E220">
        <v>175893</v>
      </c>
      <c r="F220" t="s">
        <v>425</v>
      </c>
      <c r="G220" t="s">
        <v>426</v>
      </c>
      <c r="H220" s="3">
        <v>3.33</v>
      </c>
      <c r="I220" s="3">
        <v>0</v>
      </c>
      <c r="J220" s="3">
        <v>0</v>
      </c>
      <c r="K220" s="3">
        <v>29.8</v>
      </c>
      <c r="L220" s="3">
        <v>0</v>
      </c>
      <c r="M220" s="3">
        <v>0</v>
      </c>
      <c r="N220" s="3">
        <v>0</v>
      </c>
      <c r="O220" s="3">
        <v>3.8740000000000001</v>
      </c>
      <c r="P220" s="3">
        <v>37.004000000000005</v>
      </c>
      <c r="Q220">
        <v>3</v>
      </c>
    </row>
    <row r="221" spans="1:17" x14ac:dyDescent="0.25">
      <c r="A221" t="s">
        <v>744</v>
      </c>
      <c r="B221" t="s">
        <v>760</v>
      </c>
      <c r="C221" t="s">
        <v>1</v>
      </c>
      <c r="D221" t="s">
        <v>0</v>
      </c>
      <c r="E221">
        <v>67155</v>
      </c>
      <c r="F221" t="s">
        <v>418</v>
      </c>
      <c r="G221" t="s">
        <v>419</v>
      </c>
      <c r="H221" s="3">
        <v>9.1999999999999993</v>
      </c>
      <c r="I221" s="3">
        <v>0</v>
      </c>
      <c r="J221" s="3">
        <v>0</v>
      </c>
      <c r="K221" s="3">
        <v>82.42</v>
      </c>
      <c r="L221" s="3">
        <v>0</v>
      </c>
      <c r="M221" s="3">
        <v>0</v>
      </c>
      <c r="N221" s="3">
        <v>0</v>
      </c>
      <c r="O221" s="3">
        <v>10.714600000000001</v>
      </c>
      <c r="P221" s="3">
        <v>102.33460000000001</v>
      </c>
      <c r="Q221">
        <v>3</v>
      </c>
    </row>
    <row r="222" spans="1:17" x14ac:dyDescent="0.25">
      <c r="A222" t="s">
        <v>744</v>
      </c>
      <c r="B222" t="s">
        <v>760</v>
      </c>
      <c r="C222" t="s">
        <v>1</v>
      </c>
      <c r="D222" t="s">
        <v>0</v>
      </c>
      <c r="E222">
        <v>67252</v>
      </c>
      <c r="F222" t="s">
        <v>418</v>
      </c>
      <c r="G222" t="s">
        <v>419</v>
      </c>
      <c r="H222" s="3">
        <v>6.74</v>
      </c>
      <c r="I222" s="3">
        <v>0</v>
      </c>
      <c r="J222" s="3">
        <v>0</v>
      </c>
      <c r="K222" s="3">
        <v>60.41</v>
      </c>
      <c r="L222" s="3">
        <v>0</v>
      </c>
      <c r="M222" s="3">
        <v>0</v>
      </c>
      <c r="N222" s="3">
        <v>0</v>
      </c>
      <c r="O222" s="3">
        <v>7.8532999999999999</v>
      </c>
      <c r="P222" s="3">
        <v>75.003299999999996</v>
      </c>
      <c r="Q222">
        <v>3</v>
      </c>
    </row>
    <row r="223" spans="1:17" x14ac:dyDescent="0.25">
      <c r="A223" t="s">
        <v>744</v>
      </c>
      <c r="B223" t="s">
        <v>761</v>
      </c>
      <c r="C223" t="s">
        <v>1</v>
      </c>
      <c r="D223" t="s">
        <v>0</v>
      </c>
      <c r="E223">
        <v>1893</v>
      </c>
      <c r="F223" t="s">
        <v>475</v>
      </c>
      <c r="G223" t="s">
        <v>476</v>
      </c>
      <c r="H223" s="3">
        <v>0</v>
      </c>
      <c r="I223" s="3">
        <v>0</v>
      </c>
      <c r="J223" s="3">
        <v>0</v>
      </c>
      <c r="K223" s="3">
        <v>28.08</v>
      </c>
      <c r="L223" s="3">
        <v>0</v>
      </c>
      <c r="M223" s="3">
        <v>0</v>
      </c>
      <c r="N223" s="3">
        <v>0</v>
      </c>
      <c r="O223" s="3">
        <v>3.6503999999999999</v>
      </c>
      <c r="P223" s="3">
        <v>31.730399999999999</v>
      </c>
      <c r="Q223">
        <v>3</v>
      </c>
    </row>
    <row r="224" spans="1:17" x14ac:dyDescent="0.25">
      <c r="A224" t="s">
        <v>744</v>
      </c>
      <c r="B224" t="s">
        <v>761</v>
      </c>
      <c r="C224" t="s">
        <v>1</v>
      </c>
      <c r="D224" t="s">
        <v>0</v>
      </c>
      <c r="E224">
        <v>1894</v>
      </c>
      <c r="F224" t="s">
        <v>475</v>
      </c>
      <c r="G224" t="s">
        <v>476</v>
      </c>
      <c r="H224" s="3">
        <v>0</v>
      </c>
      <c r="I224" s="3">
        <v>0</v>
      </c>
      <c r="J224" s="3">
        <v>0</v>
      </c>
      <c r="K224" s="3">
        <v>56.26</v>
      </c>
      <c r="L224" s="3">
        <v>0</v>
      </c>
      <c r="M224" s="3">
        <v>0</v>
      </c>
      <c r="N224" s="3">
        <v>0</v>
      </c>
      <c r="O224" s="3">
        <v>7.3137999999999996</v>
      </c>
      <c r="P224" s="3">
        <v>63.573799999999999</v>
      </c>
      <c r="Q224">
        <v>3</v>
      </c>
    </row>
    <row r="225" spans="1:17" x14ac:dyDescent="0.25">
      <c r="A225" t="s">
        <v>744</v>
      </c>
      <c r="B225" t="s">
        <v>761</v>
      </c>
      <c r="C225" t="s">
        <v>1</v>
      </c>
      <c r="D225" t="s">
        <v>0</v>
      </c>
      <c r="E225">
        <v>1898</v>
      </c>
      <c r="F225" t="s">
        <v>475</v>
      </c>
      <c r="G225" t="s">
        <v>476</v>
      </c>
      <c r="H225" s="3">
        <v>0</v>
      </c>
      <c r="I225" s="3">
        <v>0</v>
      </c>
      <c r="J225" s="3">
        <v>0</v>
      </c>
      <c r="K225" s="3">
        <v>40.43</v>
      </c>
      <c r="L225" s="3">
        <v>0</v>
      </c>
      <c r="M225" s="3">
        <v>0</v>
      </c>
      <c r="N225" s="3">
        <v>0</v>
      </c>
      <c r="O225" s="3">
        <v>5.2559000000000005</v>
      </c>
      <c r="P225" s="3">
        <v>45.685900000000004</v>
      </c>
      <c r="Q225">
        <v>3</v>
      </c>
    </row>
    <row r="226" spans="1:17" x14ac:dyDescent="0.25">
      <c r="A226" t="s">
        <v>744</v>
      </c>
      <c r="B226" t="s">
        <v>761</v>
      </c>
      <c r="C226" t="s">
        <v>1</v>
      </c>
      <c r="D226" t="s">
        <v>0</v>
      </c>
      <c r="E226">
        <v>176092</v>
      </c>
      <c r="F226" t="s">
        <v>425</v>
      </c>
      <c r="G226" t="s">
        <v>426</v>
      </c>
      <c r="H226" s="3">
        <v>2.46</v>
      </c>
      <c r="I226" s="3">
        <v>0</v>
      </c>
      <c r="J226" s="3">
        <v>0</v>
      </c>
      <c r="K226" s="3">
        <v>25.55</v>
      </c>
      <c r="L226" s="3">
        <v>0</v>
      </c>
      <c r="M226" s="3">
        <v>0</v>
      </c>
      <c r="N226" s="3">
        <v>0</v>
      </c>
      <c r="O226" s="3">
        <v>3.3215000000000003</v>
      </c>
      <c r="P226" s="3">
        <v>31.331500000000002</v>
      </c>
      <c r="Q226">
        <v>3</v>
      </c>
    </row>
    <row r="227" spans="1:17" x14ac:dyDescent="0.25">
      <c r="A227" t="s">
        <v>744</v>
      </c>
      <c r="B227" t="s">
        <v>761</v>
      </c>
      <c r="C227" t="s">
        <v>1</v>
      </c>
      <c r="D227" t="s">
        <v>0</v>
      </c>
      <c r="E227">
        <v>176051</v>
      </c>
      <c r="F227" t="s">
        <v>425</v>
      </c>
      <c r="G227" t="s">
        <v>426</v>
      </c>
      <c r="H227" s="3">
        <v>3.44</v>
      </c>
      <c r="I227" s="3">
        <v>0</v>
      </c>
      <c r="J227" s="3">
        <v>0</v>
      </c>
      <c r="K227" s="3">
        <v>30.83</v>
      </c>
      <c r="L227" s="3">
        <v>0</v>
      </c>
      <c r="M227" s="3">
        <v>0</v>
      </c>
      <c r="N227" s="3">
        <v>0</v>
      </c>
      <c r="O227" s="3">
        <v>4.0079000000000002</v>
      </c>
      <c r="P227" s="3">
        <v>38.277899999999995</v>
      </c>
      <c r="Q227">
        <v>3</v>
      </c>
    </row>
    <row r="228" spans="1:17" x14ac:dyDescent="0.25">
      <c r="A228" t="s">
        <v>744</v>
      </c>
      <c r="B228" t="s">
        <v>761</v>
      </c>
      <c r="C228" t="s">
        <v>1</v>
      </c>
      <c r="D228" t="s">
        <v>0</v>
      </c>
      <c r="E228">
        <v>67405</v>
      </c>
      <c r="F228" t="s">
        <v>418</v>
      </c>
      <c r="G228" t="s">
        <v>419</v>
      </c>
      <c r="H228" s="3">
        <v>4.72</v>
      </c>
      <c r="I228" s="3">
        <v>0</v>
      </c>
      <c r="J228" s="3">
        <v>0</v>
      </c>
      <c r="K228" s="3">
        <v>42.34</v>
      </c>
      <c r="L228" s="3">
        <v>0</v>
      </c>
      <c r="M228" s="3">
        <v>0</v>
      </c>
      <c r="N228" s="3">
        <v>0</v>
      </c>
      <c r="O228" s="3">
        <v>5.5042000000000009</v>
      </c>
      <c r="P228" s="3">
        <v>52.5642</v>
      </c>
      <c r="Q228">
        <v>3</v>
      </c>
    </row>
    <row r="229" spans="1:17" x14ac:dyDescent="0.25">
      <c r="A229" t="s">
        <v>744</v>
      </c>
      <c r="B229" t="s">
        <v>762</v>
      </c>
      <c r="C229" t="s">
        <v>1</v>
      </c>
      <c r="D229" t="s">
        <v>0</v>
      </c>
      <c r="E229">
        <v>604473</v>
      </c>
      <c r="F229" t="s">
        <v>240</v>
      </c>
      <c r="G229" t="s">
        <v>772</v>
      </c>
      <c r="H229" s="3">
        <v>0</v>
      </c>
      <c r="I229" s="3">
        <v>0</v>
      </c>
      <c r="J229" s="3">
        <v>0</v>
      </c>
      <c r="K229" s="3">
        <v>5.44</v>
      </c>
      <c r="L229" s="3">
        <v>0</v>
      </c>
      <c r="M229" s="3">
        <v>0</v>
      </c>
      <c r="N229" s="3">
        <v>0</v>
      </c>
      <c r="O229" s="3">
        <v>0.70720000000000005</v>
      </c>
      <c r="P229" s="3">
        <v>6.1472000000000007</v>
      </c>
      <c r="Q229">
        <v>3</v>
      </c>
    </row>
    <row r="230" spans="1:17" x14ac:dyDescent="0.25">
      <c r="A230" t="s">
        <v>744</v>
      </c>
      <c r="B230" t="s">
        <v>762</v>
      </c>
      <c r="C230" t="s">
        <v>1</v>
      </c>
      <c r="D230" t="s">
        <v>0</v>
      </c>
      <c r="E230">
        <v>1906</v>
      </c>
      <c r="F230" t="s">
        <v>475</v>
      </c>
      <c r="G230" t="s">
        <v>476</v>
      </c>
      <c r="H230" s="3">
        <v>0</v>
      </c>
      <c r="I230" s="3">
        <v>0</v>
      </c>
      <c r="J230" s="3">
        <v>0</v>
      </c>
      <c r="K230" s="3">
        <v>56.26</v>
      </c>
      <c r="L230" s="3">
        <v>0</v>
      </c>
      <c r="M230" s="3">
        <v>0</v>
      </c>
      <c r="N230" s="3">
        <v>0</v>
      </c>
      <c r="O230" s="3">
        <v>7.3137999999999996</v>
      </c>
      <c r="P230" s="3">
        <v>63.573799999999999</v>
      </c>
      <c r="Q230">
        <v>3</v>
      </c>
    </row>
    <row r="231" spans="1:17" x14ac:dyDescent="0.25">
      <c r="A231" t="s">
        <v>744</v>
      </c>
      <c r="B231" t="s">
        <v>762</v>
      </c>
      <c r="C231" t="s">
        <v>1</v>
      </c>
      <c r="D231" t="s">
        <v>0</v>
      </c>
      <c r="E231">
        <v>1905</v>
      </c>
      <c r="F231" t="s">
        <v>475</v>
      </c>
      <c r="G231" t="s">
        <v>476</v>
      </c>
      <c r="H231" s="3">
        <v>0</v>
      </c>
      <c r="I231" s="3">
        <v>0</v>
      </c>
      <c r="J231" s="3">
        <v>0</v>
      </c>
      <c r="K231" s="3">
        <v>56.26</v>
      </c>
      <c r="L231" s="3">
        <v>0</v>
      </c>
      <c r="M231" s="3">
        <v>0</v>
      </c>
      <c r="N231" s="3">
        <v>0</v>
      </c>
      <c r="O231" s="3">
        <v>7.3137999999999996</v>
      </c>
      <c r="P231" s="3">
        <v>63.573799999999999</v>
      </c>
      <c r="Q231">
        <v>3</v>
      </c>
    </row>
    <row r="232" spans="1:17" x14ac:dyDescent="0.25">
      <c r="A232" t="s">
        <v>744</v>
      </c>
      <c r="B232" t="s">
        <v>762</v>
      </c>
      <c r="C232" t="s">
        <v>1</v>
      </c>
      <c r="D232" t="s">
        <v>0</v>
      </c>
      <c r="E232">
        <v>176352</v>
      </c>
      <c r="F232" t="s">
        <v>425</v>
      </c>
      <c r="G232" t="s">
        <v>426</v>
      </c>
      <c r="H232" s="3">
        <v>1.9</v>
      </c>
      <c r="I232" s="3">
        <v>0</v>
      </c>
      <c r="J232" s="3">
        <v>0</v>
      </c>
      <c r="K232" s="3">
        <v>17</v>
      </c>
      <c r="L232" s="3">
        <v>0</v>
      </c>
      <c r="M232" s="3">
        <v>0</v>
      </c>
      <c r="N232" s="3">
        <v>0</v>
      </c>
      <c r="O232" s="3">
        <v>2.21</v>
      </c>
      <c r="P232" s="3">
        <v>21.11</v>
      </c>
      <c r="Q232">
        <v>3</v>
      </c>
    </row>
    <row r="233" spans="1:17" x14ac:dyDescent="0.25">
      <c r="A233" t="s">
        <v>744</v>
      </c>
      <c r="B233" t="s">
        <v>762</v>
      </c>
      <c r="C233" t="s">
        <v>1</v>
      </c>
      <c r="D233" t="s">
        <v>0</v>
      </c>
      <c r="E233">
        <v>67778</v>
      </c>
      <c r="F233" t="s">
        <v>418</v>
      </c>
      <c r="G233" t="s">
        <v>419</v>
      </c>
      <c r="H233" s="3">
        <v>3.23</v>
      </c>
      <c r="I233" s="3">
        <v>0</v>
      </c>
      <c r="J233" s="3">
        <v>0</v>
      </c>
      <c r="K233" s="3">
        <v>29</v>
      </c>
      <c r="L233" s="3">
        <v>0</v>
      </c>
      <c r="M233" s="3">
        <v>0</v>
      </c>
      <c r="N233" s="3">
        <v>0</v>
      </c>
      <c r="O233" s="3">
        <v>3.77</v>
      </c>
      <c r="P233" s="3">
        <v>36</v>
      </c>
      <c r="Q233">
        <v>3</v>
      </c>
    </row>
    <row r="234" spans="1:17" x14ac:dyDescent="0.25">
      <c r="A234" t="s">
        <v>744</v>
      </c>
      <c r="B234" t="s">
        <v>762</v>
      </c>
      <c r="C234" t="s">
        <v>1</v>
      </c>
      <c r="D234" t="s">
        <v>0</v>
      </c>
      <c r="E234">
        <v>67900</v>
      </c>
      <c r="F234" t="s">
        <v>418</v>
      </c>
      <c r="G234" t="s">
        <v>419</v>
      </c>
      <c r="H234" s="3">
        <v>11.41</v>
      </c>
      <c r="I234" s="3">
        <v>0</v>
      </c>
      <c r="J234" s="3">
        <v>0</v>
      </c>
      <c r="K234" s="3">
        <v>102.29</v>
      </c>
      <c r="L234" s="3">
        <v>0</v>
      </c>
      <c r="M234" s="3">
        <v>0</v>
      </c>
      <c r="N234" s="3">
        <v>0</v>
      </c>
      <c r="O234" s="3">
        <v>13.297700000000001</v>
      </c>
      <c r="P234" s="3">
        <v>126.99770000000001</v>
      </c>
      <c r="Q234">
        <v>3</v>
      </c>
    </row>
    <row r="235" spans="1:17" x14ac:dyDescent="0.25">
      <c r="A235" t="s">
        <v>744</v>
      </c>
      <c r="B235" t="s">
        <v>762</v>
      </c>
      <c r="C235" t="s">
        <v>1</v>
      </c>
      <c r="D235" t="s">
        <v>0</v>
      </c>
      <c r="E235">
        <v>67783</v>
      </c>
      <c r="F235" t="s">
        <v>418</v>
      </c>
      <c r="G235" t="s">
        <v>419</v>
      </c>
      <c r="H235" s="3">
        <v>2.2400000000000002</v>
      </c>
      <c r="I235" s="3">
        <v>0</v>
      </c>
      <c r="J235" s="3">
        <v>0</v>
      </c>
      <c r="K235" s="3">
        <v>20.14</v>
      </c>
      <c r="L235" s="3">
        <v>0</v>
      </c>
      <c r="M235" s="3">
        <v>0</v>
      </c>
      <c r="N235" s="3">
        <v>0</v>
      </c>
      <c r="O235" s="3">
        <v>2.6182000000000003</v>
      </c>
      <c r="P235" s="3">
        <v>24.998200000000004</v>
      </c>
      <c r="Q235">
        <v>3</v>
      </c>
    </row>
    <row r="236" spans="1:17" x14ac:dyDescent="0.25">
      <c r="A236" t="s">
        <v>744</v>
      </c>
      <c r="B236" t="s">
        <v>763</v>
      </c>
      <c r="C236" t="s">
        <v>1</v>
      </c>
      <c r="D236" t="s">
        <v>0</v>
      </c>
      <c r="E236">
        <v>1910</v>
      </c>
      <c r="F236" t="s">
        <v>475</v>
      </c>
      <c r="G236" t="s">
        <v>476</v>
      </c>
      <c r="H236" s="3">
        <v>0</v>
      </c>
      <c r="I236" s="3">
        <v>0</v>
      </c>
      <c r="J236" s="3">
        <v>0</v>
      </c>
      <c r="K236" s="3">
        <v>96.87</v>
      </c>
      <c r="L236" s="3">
        <v>0</v>
      </c>
      <c r="M236" s="3">
        <v>0</v>
      </c>
      <c r="N236" s="3">
        <v>0</v>
      </c>
      <c r="O236" s="3">
        <v>12.593100000000002</v>
      </c>
      <c r="P236" s="3">
        <v>109.46310000000001</v>
      </c>
      <c r="Q236">
        <v>3</v>
      </c>
    </row>
    <row r="237" spans="1:17" x14ac:dyDescent="0.25">
      <c r="A237" t="s">
        <v>744</v>
      </c>
      <c r="B237" t="s">
        <v>763</v>
      </c>
      <c r="C237" t="s">
        <v>1</v>
      </c>
      <c r="D237" t="s">
        <v>0</v>
      </c>
      <c r="E237">
        <v>1911</v>
      </c>
      <c r="F237" t="s">
        <v>475</v>
      </c>
      <c r="G237" t="s">
        <v>476</v>
      </c>
      <c r="H237" s="3">
        <v>0</v>
      </c>
      <c r="I237" s="3">
        <v>0</v>
      </c>
      <c r="J237" s="3">
        <v>0</v>
      </c>
      <c r="K237" s="3">
        <v>28.08</v>
      </c>
      <c r="L237" s="3">
        <v>0</v>
      </c>
      <c r="M237" s="3">
        <v>0</v>
      </c>
      <c r="N237" s="3">
        <v>0</v>
      </c>
      <c r="O237" s="3">
        <v>3.6503999999999999</v>
      </c>
      <c r="P237" s="3">
        <v>31.730399999999999</v>
      </c>
      <c r="Q237">
        <v>3</v>
      </c>
    </row>
    <row r="238" spans="1:17" x14ac:dyDescent="0.25">
      <c r="A238" t="s">
        <v>744</v>
      </c>
      <c r="B238" t="s">
        <v>763</v>
      </c>
      <c r="C238" t="s">
        <v>1</v>
      </c>
      <c r="D238" t="s">
        <v>0</v>
      </c>
      <c r="E238">
        <v>1918</v>
      </c>
      <c r="F238" t="s">
        <v>475</v>
      </c>
      <c r="G238" t="s">
        <v>476</v>
      </c>
      <c r="H238" s="3">
        <v>0</v>
      </c>
      <c r="I238" s="3">
        <v>0</v>
      </c>
      <c r="J238" s="3">
        <v>0</v>
      </c>
      <c r="K238" s="3">
        <v>62.33</v>
      </c>
      <c r="L238" s="3">
        <v>0</v>
      </c>
      <c r="M238" s="3">
        <v>0</v>
      </c>
      <c r="N238" s="3">
        <v>0</v>
      </c>
      <c r="O238" s="3">
        <v>8.1029</v>
      </c>
      <c r="P238" s="3">
        <v>70.432900000000004</v>
      </c>
      <c r="Q238">
        <v>3</v>
      </c>
    </row>
    <row r="239" spans="1:17" x14ac:dyDescent="0.25">
      <c r="A239" t="s">
        <v>744</v>
      </c>
      <c r="B239" t="s">
        <v>763</v>
      </c>
      <c r="C239" t="s">
        <v>1</v>
      </c>
      <c r="D239" t="s">
        <v>0</v>
      </c>
      <c r="E239">
        <v>1912</v>
      </c>
      <c r="F239" t="s">
        <v>475</v>
      </c>
      <c r="G239" t="s">
        <v>476</v>
      </c>
      <c r="H239" s="3">
        <v>0</v>
      </c>
      <c r="I239" s="3">
        <v>0</v>
      </c>
      <c r="J239" s="3">
        <v>0</v>
      </c>
      <c r="K239" s="3">
        <v>52.79</v>
      </c>
      <c r="L239" s="3">
        <v>0</v>
      </c>
      <c r="M239" s="3">
        <v>0</v>
      </c>
      <c r="N239" s="3">
        <v>0</v>
      </c>
      <c r="O239" s="3">
        <v>6.8627000000000002</v>
      </c>
      <c r="P239" s="3">
        <v>59.652699999999996</v>
      </c>
      <c r="Q239">
        <v>3</v>
      </c>
    </row>
    <row r="240" spans="1:17" x14ac:dyDescent="0.25">
      <c r="A240" t="s">
        <v>744</v>
      </c>
      <c r="B240" t="s">
        <v>763</v>
      </c>
      <c r="C240" t="s">
        <v>1</v>
      </c>
      <c r="D240" t="s">
        <v>0</v>
      </c>
      <c r="E240">
        <v>176461</v>
      </c>
      <c r="F240" t="s">
        <v>425</v>
      </c>
      <c r="G240" t="s">
        <v>426</v>
      </c>
      <c r="H240" s="3">
        <v>2.96</v>
      </c>
      <c r="I240" s="3">
        <v>0</v>
      </c>
      <c r="J240" s="3">
        <v>0</v>
      </c>
      <c r="K240" s="3">
        <v>26.58</v>
      </c>
      <c r="L240" s="3">
        <v>0</v>
      </c>
      <c r="M240" s="3">
        <v>0</v>
      </c>
      <c r="N240" s="3">
        <v>0</v>
      </c>
      <c r="O240" s="3">
        <v>3.4554</v>
      </c>
      <c r="P240" s="3">
        <v>32.995399999999997</v>
      </c>
      <c r="Q240">
        <v>3</v>
      </c>
    </row>
    <row r="241" spans="1:17" x14ac:dyDescent="0.25">
      <c r="A241" t="s">
        <v>744</v>
      </c>
      <c r="B241" t="s">
        <v>763</v>
      </c>
      <c r="C241" t="s">
        <v>1</v>
      </c>
      <c r="D241" t="s">
        <v>0</v>
      </c>
      <c r="E241">
        <v>176515</v>
      </c>
      <c r="F241" t="s">
        <v>425</v>
      </c>
      <c r="G241" t="s">
        <v>426</v>
      </c>
      <c r="H241" s="3">
        <v>4.41</v>
      </c>
      <c r="I241" s="3">
        <v>0</v>
      </c>
      <c r="J241" s="3">
        <v>0</v>
      </c>
      <c r="K241" s="3">
        <v>39.61</v>
      </c>
      <c r="L241" s="3">
        <v>0</v>
      </c>
      <c r="M241" s="3">
        <v>0</v>
      </c>
      <c r="N241" s="3">
        <v>0</v>
      </c>
      <c r="O241" s="3">
        <v>5.1493000000000002</v>
      </c>
      <c r="P241" s="3">
        <v>49.169299999999993</v>
      </c>
      <c r="Q241">
        <v>3</v>
      </c>
    </row>
    <row r="242" spans="1:17" x14ac:dyDescent="0.25">
      <c r="A242" t="s">
        <v>744</v>
      </c>
      <c r="B242" t="s">
        <v>763</v>
      </c>
      <c r="C242" t="s">
        <v>1</v>
      </c>
      <c r="D242" t="s">
        <v>0</v>
      </c>
      <c r="E242">
        <v>68067</v>
      </c>
      <c r="F242" t="s">
        <v>418</v>
      </c>
      <c r="G242" t="s">
        <v>419</v>
      </c>
      <c r="H242" s="3">
        <v>6.35</v>
      </c>
      <c r="I242" s="3">
        <v>0</v>
      </c>
      <c r="J242" s="3">
        <v>0</v>
      </c>
      <c r="K242" s="3">
        <v>56.99</v>
      </c>
      <c r="L242" s="3">
        <v>0</v>
      </c>
      <c r="M242" s="3">
        <v>0</v>
      </c>
      <c r="N242" s="3">
        <v>0</v>
      </c>
      <c r="O242" s="3">
        <v>7.4087000000000005</v>
      </c>
      <c r="P242" s="3">
        <v>70.748699999999999</v>
      </c>
      <c r="Q242">
        <v>3</v>
      </c>
    </row>
    <row r="243" spans="1:17" x14ac:dyDescent="0.25">
      <c r="A243" t="s">
        <v>744</v>
      </c>
      <c r="B243" t="s">
        <v>764</v>
      </c>
      <c r="C243" t="s">
        <v>1</v>
      </c>
      <c r="D243" t="s">
        <v>0</v>
      </c>
      <c r="E243">
        <v>1926</v>
      </c>
      <c r="F243" t="s">
        <v>475</v>
      </c>
      <c r="G243" t="s">
        <v>476</v>
      </c>
      <c r="H243" s="3">
        <v>0</v>
      </c>
      <c r="I243" s="3">
        <v>0</v>
      </c>
      <c r="J243" s="3">
        <v>0</v>
      </c>
      <c r="K243" s="3">
        <v>56.26</v>
      </c>
      <c r="L243" s="3">
        <v>0</v>
      </c>
      <c r="M243" s="3">
        <v>0</v>
      </c>
      <c r="N243" s="3">
        <v>0</v>
      </c>
      <c r="O243" s="3">
        <v>7.3137999999999996</v>
      </c>
      <c r="P243" s="3">
        <v>63.573799999999999</v>
      </c>
      <c r="Q243">
        <v>3</v>
      </c>
    </row>
    <row r="244" spans="1:17" x14ac:dyDescent="0.25">
      <c r="A244" t="s">
        <v>744</v>
      </c>
      <c r="B244" t="s">
        <v>764</v>
      </c>
      <c r="C244" t="s">
        <v>1</v>
      </c>
      <c r="D244" t="s">
        <v>0</v>
      </c>
      <c r="E244">
        <v>176708</v>
      </c>
      <c r="F244" t="s">
        <v>425</v>
      </c>
      <c r="G244" t="s">
        <v>426</v>
      </c>
      <c r="H244" s="3">
        <v>2.11</v>
      </c>
      <c r="I244" s="3">
        <v>0</v>
      </c>
      <c r="J244" s="3">
        <v>0</v>
      </c>
      <c r="K244" s="3">
        <v>18.93</v>
      </c>
      <c r="L244" s="3">
        <v>0</v>
      </c>
      <c r="M244" s="3">
        <v>0</v>
      </c>
      <c r="N244" s="3">
        <v>0</v>
      </c>
      <c r="O244" s="3">
        <v>2.4609000000000001</v>
      </c>
      <c r="P244" s="3">
        <v>23.500899999999998</v>
      </c>
      <c r="Q244">
        <v>3</v>
      </c>
    </row>
    <row r="245" spans="1:17" x14ac:dyDescent="0.25">
      <c r="A245" t="s">
        <v>744</v>
      </c>
      <c r="B245" t="s">
        <v>764</v>
      </c>
      <c r="C245" t="s">
        <v>1</v>
      </c>
      <c r="D245" t="s">
        <v>0</v>
      </c>
      <c r="E245">
        <v>68373</v>
      </c>
      <c r="F245" t="s">
        <v>418</v>
      </c>
      <c r="G245" t="s">
        <v>419</v>
      </c>
      <c r="H245" s="3">
        <v>11.57</v>
      </c>
      <c r="I245" s="3">
        <v>0</v>
      </c>
      <c r="J245" s="3">
        <v>0</v>
      </c>
      <c r="K245" s="3">
        <v>103.83</v>
      </c>
      <c r="L245" s="3">
        <v>0</v>
      </c>
      <c r="M245" s="3">
        <v>0</v>
      </c>
      <c r="N245" s="3">
        <v>0</v>
      </c>
      <c r="O245" s="3">
        <v>13.4979</v>
      </c>
      <c r="P245" s="3">
        <v>128.89789999999999</v>
      </c>
      <c r="Q245">
        <v>3</v>
      </c>
    </row>
    <row r="246" spans="1:17" x14ac:dyDescent="0.25">
      <c r="A246" t="s">
        <v>744</v>
      </c>
      <c r="B246" t="s">
        <v>764</v>
      </c>
      <c r="C246" t="s">
        <v>1</v>
      </c>
      <c r="D246" t="s">
        <v>0</v>
      </c>
      <c r="E246">
        <v>68488</v>
      </c>
      <c r="F246" t="s">
        <v>418</v>
      </c>
      <c r="G246" t="s">
        <v>419</v>
      </c>
      <c r="H246" s="3">
        <v>10.95</v>
      </c>
      <c r="I246" s="3">
        <v>0</v>
      </c>
      <c r="J246" s="3">
        <v>0</v>
      </c>
      <c r="K246" s="3">
        <v>98.27</v>
      </c>
      <c r="L246" s="3">
        <v>0</v>
      </c>
      <c r="M246" s="3">
        <v>0</v>
      </c>
      <c r="N246" s="3">
        <v>0</v>
      </c>
      <c r="O246" s="3">
        <v>12.7751</v>
      </c>
      <c r="P246" s="3">
        <v>121.99509999999999</v>
      </c>
      <c r="Q246">
        <v>3</v>
      </c>
    </row>
    <row r="247" spans="1:17" x14ac:dyDescent="0.25">
      <c r="A247" t="s">
        <v>744</v>
      </c>
      <c r="B247" t="s">
        <v>773</v>
      </c>
      <c r="C247" t="s">
        <v>1</v>
      </c>
      <c r="D247" t="s">
        <v>0</v>
      </c>
      <c r="E247">
        <v>2649</v>
      </c>
      <c r="F247" t="s">
        <v>568</v>
      </c>
      <c r="G247" t="s">
        <v>570</v>
      </c>
      <c r="H247" s="3">
        <v>0</v>
      </c>
      <c r="I247" s="3">
        <v>0</v>
      </c>
      <c r="J247" s="3">
        <v>0</v>
      </c>
      <c r="K247" s="3">
        <v>63.72</v>
      </c>
      <c r="L247" s="3">
        <v>0</v>
      </c>
      <c r="M247" s="3">
        <v>0</v>
      </c>
      <c r="N247" s="3">
        <v>0</v>
      </c>
      <c r="O247" s="3">
        <v>8.2835999999999999</v>
      </c>
      <c r="P247" s="3">
        <v>72.003600000000006</v>
      </c>
      <c r="Q247">
        <v>3</v>
      </c>
    </row>
    <row r="248" spans="1:17" x14ac:dyDescent="0.25">
      <c r="A248" t="s">
        <v>744</v>
      </c>
      <c r="B248" t="s">
        <v>773</v>
      </c>
      <c r="C248" t="s">
        <v>1</v>
      </c>
      <c r="D248" t="s">
        <v>0</v>
      </c>
      <c r="E248">
        <v>1943</v>
      </c>
      <c r="F248" t="s">
        <v>475</v>
      </c>
      <c r="G248" t="s">
        <v>476</v>
      </c>
      <c r="H248" s="3">
        <v>0</v>
      </c>
      <c r="I248" s="3">
        <v>0</v>
      </c>
      <c r="J248" s="3">
        <v>0</v>
      </c>
      <c r="K248" s="3">
        <v>56.26</v>
      </c>
      <c r="L248" s="3">
        <v>0</v>
      </c>
      <c r="M248" s="3">
        <v>0</v>
      </c>
      <c r="N248" s="3">
        <v>0</v>
      </c>
      <c r="O248" s="3">
        <v>7.3137999999999996</v>
      </c>
      <c r="P248" s="3">
        <v>63.573799999999999</v>
      </c>
      <c r="Q248">
        <v>3</v>
      </c>
    </row>
    <row r="249" spans="1:17" x14ac:dyDescent="0.25">
      <c r="A249" t="s">
        <v>744</v>
      </c>
      <c r="B249" t="s">
        <v>773</v>
      </c>
      <c r="C249" t="s">
        <v>1</v>
      </c>
      <c r="D249" t="s">
        <v>0</v>
      </c>
      <c r="E249">
        <v>1942</v>
      </c>
      <c r="F249" t="s">
        <v>475</v>
      </c>
      <c r="G249" t="s">
        <v>476</v>
      </c>
      <c r="H249" s="3">
        <v>0</v>
      </c>
      <c r="I249" s="3">
        <v>0</v>
      </c>
      <c r="J249" s="3">
        <v>0</v>
      </c>
      <c r="K249" s="3">
        <v>52.5</v>
      </c>
      <c r="L249" s="3">
        <v>0</v>
      </c>
      <c r="M249" s="3">
        <v>0</v>
      </c>
      <c r="N249" s="3">
        <v>0</v>
      </c>
      <c r="O249" s="3">
        <v>6.8250000000000002</v>
      </c>
      <c r="P249" s="3">
        <v>59.325000000000003</v>
      </c>
      <c r="Q249">
        <v>3</v>
      </c>
    </row>
    <row r="250" spans="1:17" x14ac:dyDescent="0.25">
      <c r="A250" t="s">
        <v>744</v>
      </c>
      <c r="B250" t="s">
        <v>773</v>
      </c>
      <c r="C250" t="s">
        <v>1</v>
      </c>
      <c r="D250" t="s">
        <v>0</v>
      </c>
      <c r="E250">
        <v>17034</v>
      </c>
      <c r="F250" t="s">
        <v>453</v>
      </c>
      <c r="G250" t="s">
        <v>454</v>
      </c>
      <c r="H250" s="3">
        <v>0</v>
      </c>
      <c r="I250" s="3">
        <v>0</v>
      </c>
      <c r="J250" s="3">
        <v>0</v>
      </c>
      <c r="K250" s="3">
        <v>377.1</v>
      </c>
      <c r="L250" s="3">
        <v>0</v>
      </c>
      <c r="M250" s="3">
        <v>0</v>
      </c>
      <c r="N250" s="3">
        <v>0</v>
      </c>
      <c r="O250" s="3">
        <v>49.023000000000003</v>
      </c>
      <c r="P250" s="3">
        <v>426.12300000000005</v>
      </c>
      <c r="Q250">
        <v>3</v>
      </c>
    </row>
    <row r="251" spans="1:17" x14ac:dyDescent="0.25">
      <c r="A251" t="s">
        <v>744</v>
      </c>
      <c r="B251" t="s">
        <v>773</v>
      </c>
      <c r="C251" t="s">
        <v>1</v>
      </c>
      <c r="D251" t="s">
        <v>0</v>
      </c>
      <c r="E251">
        <v>176812</v>
      </c>
      <c r="F251" t="s">
        <v>425</v>
      </c>
      <c r="G251" t="s">
        <v>426</v>
      </c>
      <c r="H251" s="3">
        <v>1.71</v>
      </c>
      <c r="I251" s="3">
        <v>0</v>
      </c>
      <c r="J251" s="3">
        <v>0</v>
      </c>
      <c r="K251" s="3">
        <v>17.07</v>
      </c>
      <c r="L251" s="3">
        <v>0</v>
      </c>
      <c r="M251" s="3">
        <v>0</v>
      </c>
      <c r="N251" s="3">
        <v>0</v>
      </c>
      <c r="O251" s="3">
        <v>2.2191000000000001</v>
      </c>
      <c r="P251" s="3">
        <v>20.999100000000002</v>
      </c>
      <c r="Q251">
        <v>3</v>
      </c>
    </row>
    <row r="252" spans="1:17" x14ac:dyDescent="0.25">
      <c r="A252" t="s">
        <v>744</v>
      </c>
      <c r="B252" t="s">
        <v>720</v>
      </c>
      <c r="C252" t="s">
        <v>1</v>
      </c>
      <c r="D252" t="s">
        <v>0</v>
      </c>
      <c r="E252">
        <v>121781</v>
      </c>
      <c r="F252" t="s">
        <v>491</v>
      </c>
      <c r="G252" t="s">
        <v>492</v>
      </c>
      <c r="H252" s="3">
        <v>0</v>
      </c>
      <c r="I252" s="3">
        <v>0</v>
      </c>
      <c r="J252" s="3">
        <v>0</v>
      </c>
      <c r="K252" s="3">
        <v>32.26</v>
      </c>
      <c r="L252" s="3">
        <v>0</v>
      </c>
      <c r="M252" s="3">
        <v>0</v>
      </c>
      <c r="N252" s="3">
        <v>0</v>
      </c>
      <c r="O252" s="3">
        <v>4.1937999999999995</v>
      </c>
      <c r="P252" s="3">
        <v>36.453800000000001</v>
      </c>
      <c r="Q252">
        <v>3</v>
      </c>
    </row>
    <row r="253" spans="1:17" x14ac:dyDescent="0.25">
      <c r="A253" t="s">
        <v>744</v>
      </c>
      <c r="B253" t="s">
        <v>771</v>
      </c>
      <c r="C253" t="s">
        <v>1</v>
      </c>
      <c r="D253" t="s">
        <v>0</v>
      </c>
      <c r="E253">
        <v>17060</v>
      </c>
      <c r="F253" t="s">
        <v>453</v>
      </c>
      <c r="G253" t="s">
        <v>454</v>
      </c>
      <c r="H253" s="3">
        <v>0</v>
      </c>
      <c r="I253" s="3">
        <v>0</v>
      </c>
      <c r="J253" s="3">
        <v>0</v>
      </c>
      <c r="K253" s="3">
        <v>7.9</v>
      </c>
      <c r="L253" s="3">
        <v>0</v>
      </c>
      <c r="M253" s="3">
        <v>0</v>
      </c>
      <c r="N253" s="3">
        <v>0</v>
      </c>
      <c r="O253" s="3">
        <v>1.0270000000000001</v>
      </c>
      <c r="P253" s="3">
        <v>8.9269999999999996</v>
      </c>
      <c r="Q253">
        <v>3</v>
      </c>
    </row>
    <row r="254" spans="1:17" x14ac:dyDescent="0.25">
      <c r="A254" t="s">
        <v>744</v>
      </c>
      <c r="B254" t="s">
        <v>771</v>
      </c>
      <c r="C254" t="s">
        <v>1</v>
      </c>
      <c r="D254" t="s">
        <v>0</v>
      </c>
      <c r="E254">
        <v>176880</v>
      </c>
      <c r="F254" t="s">
        <v>425</v>
      </c>
      <c r="G254" t="s">
        <v>426</v>
      </c>
      <c r="H254" s="3">
        <v>3.59</v>
      </c>
      <c r="I254" s="3">
        <v>0</v>
      </c>
      <c r="J254" s="3">
        <v>0</v>
      </c>
      <c r="K254" s="3">
        <v>32.22</v>
      </c>
      <c r="L254" s="3">
        <v>0</v>
      </c>
      <c r="M254" s="3">
        <v>0</v>
      </c>
      <c r="N254" s="3">
        <v>0</v>
      </c>
      <c r="O254" s="3">
        <v>4.1886000000000001</v>
      </c>
      <c r="P254" s="3">
        <v>39.998600000000003</v>
      </c>
      <c r="Q254">
        <v>3</v>
      </c>
    </row>
    <row r="255" spans="1:17" x14ac:dyDescent="0.25">
      <c r="A255" t="s">
        <v>744</v>
      </c>
      <c r="B255" t="s">
        <v>721</v>
      </c>
      <c r="C255" t="s">
        <v>1</v>
      </c>
      <c r="D255" t="s">
        <v>0</v>
      </c>
      <c r="E255">
        <v>6653</v>
      </c>
      <c r="F255" t="s">
        <v>571</v>
      </c>
      <c r="G255" t="s">
        <v>572</v>
      </c>
      <c r="H255" s="3">
        <v>0</v>
      </c>
      <c r="I255" s="3">
        <v>0</v>
      </c>
      <c r="J255" s="3">
        <v>0</v>
      </c>
      <c r="K255" s="3">
        <v>216.81</v>
      </c>
      <c r="L255" s="3">
        <v>0</v>
      </c>
      <c r="M255" s="3">
        <v>0</v>
      </c>
      <c r="N255" s="3">
        <v>0</v>
      </c>
      <c r="O255" s="3">
        <v>28.185300000000002</v>
      </c>
      <c r="P255" s="3">
        <v>244.99530000000001</v>
      </c>
      <c r="Q255">
        <v>3</v>
      </c>
    </row>
    <row r="256" spans="1:17" x14ac:dyDescent="0.25">
      <c r="A256" t="s">
        <v>744</v>
      </c>
      <c r="B256" t="s">
        <v>765</v>
      </c>
      <c r="C256" t="s">
        <v>1</v>
      </c>
      <c r="D256" t="s">
        <v>0</v>
      </c>
      <c r="E256">
        <v>1487897</v>
      </c>
      <c r="F256" t="s">
        <v>127</v>
      </c>
      <c r="G256" t="s">
        <v>128</v>
      </c>
      <c r="H256" s="3">
        <v>0</v>
      </c>
      <c r="I256" s="3">
        <v>0</v>
      </c>
      <c r="J256" s="3">
        <v>0</v>
      </c>
      <c r="K256" s="3">
        <v>5.8</v>
      </c>
      <c r="L256" s="3">
        <v>0</v>
      </c>
      <c r="M256" s="3">
        <v>0</v>
      </c>
      <c r="N256" s="3">
        <v>0</v>
      </c>
      <c r="O256" s="3">
        <v>0.754</v>
      </c>
      <c r="P256" s="3">
        <v>6.5540000000000003</v>
      </c>
      <c r="Q256">
        <v>3</v>
      </c>
    </row>
    <row r="257" spans="1:17" x14ac:dyDescent="0.25">
      <c r="A257" t="s">
        <v>744</v>
      </c>
      <c r="B257" t="s">
        <v>765</v>
      </c>
      <c r="C257" t="s">
        <v>1</v>
      </c>
      <c r="D257" t="s">
        <v>0</v>
      </c>
      <c r="E257">
        <v>69141</v>
      </c>
      <c r="F257" t="s">
        <v>418</v>
      </c>
      <c r="G257" t="s">
        <v>419</v>
      </c>
      <c r="H257" s="3">
        <v>11.23</v>
      </c>
      <c r="I257" s="3">
        <v>0</v>
      </c>
      <c r="J257" s="3">
        <v>0</v>
      </c>
      <c r="K257" s="3">
        <v>100.68</v>
      </c>
      <c r="L257" s="3">
        <v>0</v>
      </c>
      <c r="M257" s="3">
        <v>0</v>
      </c>
      <c r="N257" s="3">
        <v>0</v>
      </c>
      <c r="O257" s="3">
        <v>13.088400000000002</v>
      </c>
      <c r="P257" s="3">
        <v>124.99840000000002</v>
      </c>
      <c r="Q257">
        <v>3</v>
      </c>
    </row>
    <row r="258" spans="1:17" x14ac:dyDescent="0.25">
      <c r="A258" t="s">
        <v>744</v>
      </c>
      <c r="B258" t="s">
        <v>766</v>
      </c>
      <c r="C258" t="s">
        <v>1</v>
      </c>
      <c r="D258" t="s">
        <v>0</v>
      </c>
      <c r="E258">
        <v>1946</v>
      </c>
      <c r="F258" t="s">
        <v>475</v>
      </c>
      <c r="G258" t="s">
        <v>476</v>
      </c>
      <c r="H258" s="3">
        <v>0</v>
      </c>
      <c r="I258" s="3">
        <v>0</v>
      </c>
      <c r="J258" s="3">
        <v>0</v>
      </c>
      <c r="K258" s="3">
        <v>52.79</v>
      </c>
      <c r="L258" s="3">
        <v>0</v>
      </c>
      <c r="M258" s="3">
        <v>0</v>
      </c>
      <c r="N258" s="3">
        <v>0</v>
      </c>
      <c r="O258" s="3">
        <v>6.8627000000000002</v>
      </c>
      <c r="P258" s="3">
        <v>59.652699999999996</v>
      </c>
      <c r="Q258">
        <v>3</v>
      </c>
    </row>
    <row r="259" spans="1:17" x14ac:dyDescent="0.25">
      <c r="A259" t="s">
        <v>744</v>
      </c>
      <c r="B259" t="s">
        <v>766</v>
      </c>
      <c r="C259" t="s">
        <v>1</v>
      </c>
      <c r="D259" t="s">
        <v>0</v>
      </c>
      <c r="E259">
        <v>1945</v>
      </c>
      <c r="F259" t="s">
        <v>475</v>
      </c>
      <c r="G259" t="s">
        <v>476</v>
      </c>
      <c r="H259" s="3">
        <v>0</v>
      </c>
      <c r="I259" s="3">
        <v>0</v>
      </c>
      <c r="J259" s="3">
        <v>0</v>
      </c>
      <c r="K259" s="3">
        <v>28.08</v>
      </c>
      <c r="L259" s="3">
        <v>0</v>
      </c>
      <c r="M259" s="3">
        <v>0</v>
      </c>
      <c r="N259" s="3">
        <v>0</v>
      </c>
      <c r="O259" s="3">
        <v>3.6503999999999999</v>
      </c>
      <c r="P259" s="3">
        <v>31.730399999999999</v>
      </c>
      <c r="Q259">
        <v>3</v>
      </c>
    </row>
    <row r="260" spans="1:17" x14ac:dyDescent="0.25">
      <c r="A260" t="s">
        <v>744</v>
      </c>
      <c r="B260" t="s">
        <v>766</v>
      </c>
      <c r="C260" t="s">
        <v>1</v>
      </c>
      <c r="D260" t="s">
        <v>0</v>
      </c>
      <c r="E260">
        <v>1944</v>
      </c>
      <c r="F260" t="s">
        <v>475</v>
      </c>
      <c r="G260" t="s">
        <v>476</v>
      </c>
      <c r="H260" s="3">
        <v>0</v>
      </c>
      <c r="I260" s="3">
        <v>0</v>
      </c>
      <c r="J260" s="3">
        <v>0</v>
      </c>
      <c r="K260" s="3">
        <v>33.130000000000003</v>
      </c>
      <c r="L260" s="3">
        <v>0</v>
      </c>
      <c r="M260" s="3">
        <v>0</v>
      </c>
      <c r="N260" s="3">
        <v>0</v>
      </c>
      <c r="O260" s="3">
        <v>4.3069000000000006</v>
      </c>
      <c r="P260" s="3">
        <v>37.436900000000001</v>
      </c>
      <c r="Q260">
        <v>3</v>
      </c>
    </row>
    <row r="261" spans="1:17" x14ac:dyDescent="0.25">
      <c r="A261" t="s">
        <v>744</v>
      </c>
      <c r="B261" t="s">
        <v>766</v>
      </c>
      <c r="C261" t="s">
        <v>1</v>
      </c>
      <c r="D261" t="s">
        <v>0</v>
      </c>
      <c r="E261">
        <v>9568</v>
      </c>
      <c r="F261" t="s">
        <v>778</v>
      </c>
      <c r="G261" t="s">
        <v>779</v>
      </c>
      <c r="H261" s="3">
        <v>0</v>
      </c>
      <c r="I261" s="3">
        <v>0</v>
      </c>
      <c r="J261" s="3">
        <v>0</v>
      </c>
      <c r="K261" s="3">
        <v>42.84</v>
      </c>
      <c r="L261" s="3">
        <v>0</v>
      </c>
      <c r="M261" s="3">
        <v>0</v>
      </c>
      <c r="N261" s="3">
        <v>0</v>
      </c>
      <c r="O261" s="3">
        <v>5.5692000000000004</v>
      </c>
      <c r="P261" s="3">
        <v>48.409200000000006</v>
      </c>
      <c r="Q261">
        <v>3</v>
      </c>
    </row>
    <row r="262" spans="1:17" x14ac:dyDescent="0.25">
      <c r="A262" t="s">
        <v>744</v>
      </c>
      <c r="B262" t="s">
        <v>766</v>
      </c>
      <c r="C262" t="s">
        <v>1</v>
      </c>
      <c r="D262" t="s">
        <v>0</v>
      </c>
      <c r="E262">
        <v>177117</v>
      </c>
      <c r="F262" t="s">
        <v>425</v>
      </c>
      <c r="G262" t="s">
        <v>426</v>
      </c>
      <c r="H262" s="3">
        <v>9.07</v>
      </c>
      <c r="I262" s="3">
        <v>0</v>
      </c>
      <c r="J262" s="3">
        <v>0</v>
      </c>
      <c r="K262" s="3">
        <v>90.82</v>
      </c>
      <c r="L262" s="3">
        <v>0</v>
      </c>
      <c r="M262" s="3">
        <v>0</v>
      </c>
      <c r="N262" s="3">
        <v>0</v>
      </c>
      <c r="O262" s="3">
        <v>11.8066</v>
      </c>
      <c r="P262" s="3">
        <v>111.69659999999999</v>
      </c>
      <c r="Q262">
        <v>3</v>
      </c>
    </row>
    <row r="263" spans="1:17" x14ac:dyDescent="0.25">
      <c r="A263" t="s">
        <v>744</v>
      </c>
      <c r="B263" t="s">
        <v>766</v>
      </c>
      <c r="C263" t="s">
        <v>1</v>
      </c>
      <c r="D263" t="s">
        <v>0</v>
      </c>
      <c r="E263">
        <v>69311</v>
      </c>
      <c r="F263" t="s">
        <v>418</v>
      </c>
      <c r="G263" t="s">
        <v>419</v>
      </c>
      <c r="H263" s="3">
        <v>1.43</v>
      </c>
      <c r="I263" s="3">
        <v>0</v>
      </c>
      <c r="J263" s="3">
        <v>0</v>
      </c>
      <c r="K263" s="3">
        <v>12.89</v>
      </c>
      <c r="L263" s="3">
        <v>0</v>
      </c>
      <c r="M263" s="3">
        <v>0</v>
      </c>
      <c r="N263" s="3">
        <v>0</v>
      </c>
      <c r="O263" s="3">
        <v>1.6757000000000002</v>
      </c>
      <c r="P263" s="3">
        <v>15.995700000000001</v>
      </c>
      <c r="Q263">
        <v>3</v>
      </c>
    </row>
    <row r="264" spans="1:17" x14ac:dyDescent="0.25">
      <c r="A264" t="s">
        <v>744</v>
      </c>
      <c r="B264" t="s">
        <v>767</v>
      </c>
      <c r="C264" t="s">
        <v>1</v>
      </c>
      <c r="D264" t="s">
        <v>0</v>
      </c>
      <c r="E264">
        <v>28</v>
      </c>
      <c r="F264" t="s">
        <v>674</v>
      </c>
      <c r="G264" t="s">
        <v>675</v>
      </c>
      <c r="H264" s="3">
        <v>0</v>
      </c>
      <c r="I264" s="3">
        <v>0</v>
      </c>
      <c r="J264" s="3">
        <v>0</v>
      </c>
      <c r="K264" s="3">
        <v>100</v>
      </c>
      <c r="L264" s="3">
        <v>0</v>
      </c>
      <c r="M264" s="3">
        <v>0</v>
      </c>
      <c r="N264" s="3">
        <v>0</v>
      </c>
      <c r="O264" s="3">
        <v>13</v>
      </c>
      <c r="P264" s="3">
        <v>113</v>
      </c>
      <c r="Q264">
        <v>3</v>
      </c>
    </row>
    <row r="265" spans="1:17" x14ac:dyDescent="0.25">
      <c r="A265" t="s">
        <v>744</v>
      </c>
      <c r="B265" t="s">
        <v>767</v>
      </c>
      <c r="C265" t="s">
        <v>1</v>
      </c>
      <c r="D265" t="s">
        <v>0</v>
      </c>
      <c r="E265">
        <v>1958</v>
      </c>
      <c r="F265" t="s">
        <v>475</v>
      </c>
      <c r="G265" t="s">
        <v>476</v>
      </c>
      <c r="H265" s="3">
        <v>0</v>
      </c>
      <c r="I265" s="3">
        <v>0</v>
      </c>
      <c r="J265" s="3">
        <v>0</v>
      </c>
      <c r="K265" s="3">
        <v>28.08</v>
      </c>
      <c r="L265" s="3">
        <v>0</v>
      </c>
      <c r="M265" s="3">
        <v>0</v>
      </c>
      <c r="N265" s="3">
        <v>0</v>
      </c>
      <c r="O265" s="3">
        <v>3.6503999999999999</v>
      </c>
      <c r="P265" s="3">
        <v>31.730399999999999</v>
      </c>
      <c r="Q265">
        <v>3</v>
      </c>
    </row>
    <row r="266" spans="1:17" x14ac:dyDescent="0.25">
      <c r="A266" t="s">
        <v>744</v>
      </c>
      <c r="B266" t="s">
        <v>767</v>
      </c>
      <c r="C266" t="s">
        <v>1</v>
      </c>
      <c r="D266" t="s">
        <v>0</v>
      </c>
      <c r="E266">
        <v>2002</v>
      </c>
      <c r="F266" t="s">
        <v>475</v>
      </c>
      <c r="G266" t="s">
        <v>476</v>
      </c>
      <c r="H266" s="3">
        <v>0</v>
      </c>
      <c r="I266" s="3">
        <v>0</v>
      </c>
      <c r="J266" s="3">
        <v>0</v>
      </c>
      <c r="K266" s="3">
        <v>28.08</v>
      </c>
      <c r="L266" s="3">
        <v>0</v>
      </c>
      <c r="M266" s="3">
        <v>0</v>
      </c>
      <c r="N266" s="3">
        <v>0</v>
      </c>
      <c r="O266" s="3">
        <v>3.6503999999999999</v>
      </c>
      <c r="P266" s="3">
        <v>31.730399999999999</v>
      </c>
      <c r="Q266">
        <v>3</v>
      </c>
    </row>
    <row r="267" spans="1:17" x14ac:dyDescent="0.25">
      <c r="A267" t="s">
        <v>744</v>
      </c>
      <c r="B267" t="s">
        <v>767</v>
      </c>
      <c r="C267" t="s">
        <v>1</v>
      </c>
      <c r="D267" t="s">
        <v>0</v>
      </c>
      <c r="E267">
        <v>1961</v>
      </c>
      <c r="F267" t="s">
        <v>475</v>
      </c>
      <c r="G267" t="s">
        <v>476</v>
      </c>
      <c r="H267" s="3">
        <v>0</v>
      </c>
      <c r="I267" s="3">
        <v>0</v>
      </c>
      <c r="J267" s="3">
        <v>0</v>
      </c>
      <c r="K267" s="3">
        <v>28.08</v>
      </c>
      <c r="L267" s="3">
        <v>0</v>
      </c>
      <c r="M267" s="3">
        <v>0</v>
      </c>
      <c r="N267" s="3">
        <v>0</v>
      </c>
      <c r="O267" s="3">
        <v>3.6503999999999999</v>
      </c>
      <c r="P267" s="3">
        <v>31.730399999999999</v>
      </c>
      <c r="Q267">
        <v>3</v>
      </c>
    </row>
    <row r="268" spans="1:17" x14ac:dyDescent="0.25">
      <c r="A268" t="s">
        <v>744</v>
      </c>
      <c r="B268" t="s">
        <v>767</v>
      </c>
      <c r="C268" t="s">
        <v>1</v>
      </c>
      <c r="D268" t="s">
        <v>0</v>
      </c>
      <c r="E268">
        <v>1962</v>
      </c>
      <c r="F268" t="s">
        <v>475</v>
      </c>
      <c r="G268" t="s">
        <v>476</v>
      </c>
      <c r="H268" s="3">
        <v>0</v>
      </c>
      <c r="I268" s="3">
        <v>0</v>
      </c>
      <c r="J268" s="3">
        <v>0</v>
      </c>
      <c r="K268" s="3">
        <v>56.26</v>
      </c>
      <c r="L268" s="3">
        <v>0</v>
      </c>
      <c r="M268" s="3">
        <v>0</v>
      </c>
      <c r="N268" s="3">
        <v>0</v>
      </c>
      <c r="O268" s="3">
        <v>7.3137999999999996</v>
      </c>
      <c r="P268" s="3">
        <v>63.573799999999999</v>
      </c>
      <c r="Q268">
        <v>3</v>
      </c>
    </row>
    <row r="269" spans="1:17" x14ac:dyDescent="0.25">
      <c r="A269" t="s">
        <v>744</v>
      </c>
      <c r="B269" t="s">
        <v>767</v>
      </c>
      <c r="C269" t="s">
        <v>1</v>
      </c>
      <c r="D269" t="s">
        <v>0</v>
      </c>
      <c r="E269">
        <v>1956</v>
      </c>
      <c r="F269" t="s">
        <v>475</v>
      </c>
      <c r="G269" t="s">
        <v>476</v>
      </c>
      <c r="H269" s="3">
        <v>0</v>
      </c>
      <c r="I269" s="3">
        <v>0</v>
      </c>
      <c r="J269" s="3">
        <v>0</v>
      </c>
      <c r="K269" s="3">
        <v>56.26</v>
      </c>
      <c r="L269" s="3">
        <v>0</v>
      </c>
      <c r="M269" s="3">
        <v>0</v>
      </c>
      <c r="N269" s="3">
        <v>0</v>
      </c>
      <c r="O269" s="3">
        <v>7.3137999999999996</v>
      </c>
      <c r="P269" s="3">
        <v>63.573799999999999</v>
      </c>
      <c r="Q269">
        <v>3</v>
      </c>
    </row>
    <row r="270" spans="1:17" x14ac:dyDescent="0.25">
      <c r="A270" t="s">
        <v>744</v>
      </c>
      <c r="B270" t="s">
        <v>767</v>
      </c>
      <c r="C270" t="s">
        <v>1</v>
      </c>
      <c r="D270" t="s">
        <v>0</v>
      </c>
      <c r="E270">
        <v>1957</v>
      </c>
      <c r="F270" t="s">
        <v>475</v>
      </c>
      <c r="G270" t="s">
        <v>476</v>
      </c>
      <c r="H270" s="3">
        <v>0</v>
      </c>
      <c r="I270" s="3">
        <v>0</v>
      </c>
      <c r="J270" s="3">
        <v>0</v>
      </c>
      <c r="K270" s="3">
        <v>53.07</v>
      </c>
      <c r="L270" s="3">
        <v>0</v>
      </c>
      <c r="M270" s="3">
        <v>0</v>
      </c>
      <c r="N270" s="3">
        <v>0</v>
      </c>
      <c r="O270" s="3">
        <v>6.8991000000000007</v>
      </c>
      <c r="P270" s="3">
        <v>59.969099999999997</v>
      </c>
      <c r="Q270">
        <v>3</v>
      </c>
    </row>
    <row r="271" spans="1:17" x14ac:dyDescent="0.25">
      <c r="A271" t="s">
        <v>744</v>
      </c>
      <c r="B271" t="s">
        <v>767</v>
      </c>
      <c r="C271" t="s">
        <v>1</v>
      </c>
      <c r="D271" t="s">
        <v>0</v>
      </c>
      <c r="E271">
        <v>253263</v>
      </c>
      <c r="F271" t="s">
        <v>459</v>
      </c>
      <c r="G271" t="s">
        <v>460</v>
      </c>
      <c r="H271" s="3">
        <v>7.82</v>
      </c>
      <c r="I271" s="3">
        <v>0</v>
      </c>
      <c r="J271" s="3">
        <v>0</v>
      </c>
      <c r="K271" s="3">
        <v>68.3</v>
      </c>
      <c r="L271" s="3">
        <v>0</v>
      </c>
      <c r="M271" s="3">
        <v>0</v>
      </c>
      <c r="N271" s="3">
        <v>0</v>
      </c>
      <c r="O271" s="3">
        <v>8.8789999999999996</v>
      </c>
      <c r="P271" s="3">
        <v>84.999000000000009</v>
      </c>
      <c r="Q271">
        <v>3</v>
      </c>
    </row>
    <row r="272" spans="1:17" x14ac:dyDescent="0.25">
      <c r="A272" t="s">
        <v>744</v>
      </c>
      <c r="B272" t="s">
        <v>767</v>
      </c>
      <c r="C272" t="s">
        <v>1</v>
      </c>
      <c r="D272" t="s">
        <v>0</v>
      </c>
      <c r="E272">
        <v>76565</v>
      </c>
      <c r="F272" t="s">
        <v>784</v>
      </c>
      <c r="G272" t="s">
        <v>785</v>
      </c>
      <c r="H272" s="3">
        <v>13.68</v>
      </c>
      <c r="I272" s="3">
        <v>0</v>
      </c>
      <c r="J272" s="3">
        <v>0</v>
      </c>
      <c r="K272" s="3">
        <v>120.64</v>
      </c>
      <c r="L272" s="3">
        <v>0</v>
      </c>
      <c r="M272" s="3">
        <v>0</v>
      </c>
      <c r="N272" s="3">
        <v>0</v>
      </c>
      <c r="O272" s="3">
        <v>15.683200000000001</v>
      </c>
      <c r="P272" s="3">
        <v>150.00319999999999</v>
      </c>
      <c r="Q272">
        <v>3</v>
      </c>
    </row>
    <row r="273" spans="1:17" x14ac:dyDescent="0.25">
      <c r="A273" t="s">
        <v>744</v>
      </c>
      <c r="B273" t="s">
        <v>767</v>
      </c>
      <c r="C273" t="s">
        <v>1</v>
      </c>
      <c r="D273" t="s">
        <v>0</v>
      </c>
      <c r="E273">
        <v>5327</v>
      </c>
      <c r="F273" t="s">
        <v>465</v>
      </c>
      <c r="G273" t="s">
        <v>466</v>
      </c>
      <c r="H273" s="3">
        <v>0</v>
      </c>
      <c r="I273" s="3">
        <v>0</v>
      </c>
      <c r="J273" s="3">
        <v>0</v>
      </c>
      <c r="K273" s="3">
        <v>22.12</v>
      </c>
      <c r="L273" s="3">
        <v>0</v>
      </c>
      <c r="M273" s="3">
        <v>0</v>
      </c>
      <c r="N273" s="3">
        <v>0</v>
      </c>
      <c r="O273" s="3">
        <v>2.8756000000000004</v>
      </c>
      <c r="P273" s="3">
        <v>24.995600000000003</v>
      </c>
      <c r="Q273">
        <v>3</v>
      </c>
    </row>
    <row r="274" spans="1:17" x14ac:dyDescent="0.25">
      <c r="A274" t="s">
        <v>744</v>
      </c>
      <c r="B274" t="s">
        <v>767</v>
      </c>
      <c r="C274" t="s">
        <v>1</v>
      </c>
      <c r="D274" t="s">
        <v>0</v>
      </c>
      <c r="E274">
        <v>1580</v>
      </c>
      <c r="F274" t="s">
        <v>453</v>
      </c>
      <c r="G274" t="s">
        <v>454</v>
      </c>
      <c r="H274" s="3">
        <v>0</v>
      </c>
      <c r="I274" s="3">
        <v>0</v>
      </c>
      <c r="J274" s="3">
        <v>0</v>
      </c>
      <c r="K274" s="3">
        <v>28.8</v>
      </c>
      <c r="L274" s="3">
        <v>0</v>
      </c>
      <c r="M274" s="3">
        <v>0</v>
      </c>
      <c r="N274" s="3">
        <v>0</v>
      </c>
      <c r="O274" s="3">
        <v>3.7440000000000002</v>
      </c>
      <c r="P274" s="3">
        <v>32.544000000000004</v>
      </c>
      <c r="Q274">
        <v>3</v>
      </c>
    </row>
    <row r="275" spans="1:17" x14ac:dyDescent="0.25">
      <c r="A275" t="s">
        <v>744</v>
      </c>
      <c r="B275" t="s">
        <v>767</v>
      </c>
      <c r="C275" t="s">
        <v>1</v>
      </c>
      <c r="D275" t="s">
        <v>0</v>
      </c>
      <c r="E275">
        <v>69533</v>
      </c>
      <c r="F275" t="s">
        <v>418</v>
      </c>
      <c r="G275" t="s">
        <v>419</v>
      </c>
      <c r="H275" s="3">
        <v>10.17</v>
      </c>
      <c r="I275" s="3">
        <v>0</v>
      </c>
      <c r="J275" s="3">
        <v>0</v>
      </c>
      <c r="K275" s="3">
        <v>89.68</v>
      </c>
      <c r="L275" s="3">
        <v>0</v>
      </c>
      <c r="M275" s="3">
        <v>0</v>
      </c>
      <c r="N275" s="3">
        <v>0</v>
      </c>
      <c r="O275" s="3">
        <v>11.658400000000002</v>
      </c>
      <c r="P275" s="3">
        <v>111.50840000000001</v>
      </c>
      <c r="Q275">
        <v>3</v>
      </c>
    </row>
    <row r="276" spans="1:17" x14ac:dyDescent="0.25">
      <c r="A276" t="s">
        <v>744</v>
      </c>
      <c r="B276" t="s">
        <v>767</v>
      </c>
      <c r="C276" t="s">
        <v>1</v>
      </c>
      <c r="D276" t="s">
        <v>0</v>
      </c>
      <c r="E276">
        <v>69637</v>
      </c>
      <c r="F276" t="s">
        <v>418</v>
      </c>
      <c r="G276" t="s">
        <v>419</v>
      </c>
      <c r="H276" s="3">
        <v>10.76</v>
      </c>
      <c r="I276" s="3">
        <v>0</v>
      </c>
      <c r="J276" s="3">
        <v>0</v>
      </c>
      <c r="K276" s="3">
        <v>94.89</v>
      </c>
      <c r="L276" s="3">
        <v>0</v>
      </c>
      <c r="M276" s="3">
        <v>0</v>
      </c>
      <c r="N276" s="3">
        <v>0</v>
      </c>
      <c r="O276" s="3">
        <v>12.335700000000001</v>
      </c>
      <c r="P276" s="3">
        <v>117.98570000000001</v>
      </c>
      <c r="Q276">
        <v>3</v>
      </c>
    </row>
    <row r="277" spans="1:17" x14ac:dyDescent="0.25">
      <c r="A277" t="s">
        <v>744</v>
      </c>
      <c r="B277" t="s">
        <v>768</v>
      </c>
      <c r="C277" t="s">
        <v>1</v>
      </c>
      <c r="D277" t="s">
        <v>0</v>
      </c>
      <c r="E277">
        <v>1978</v>
      </c>
      <c r="F277" t="s">
        <v>475</v>
      </c>
      <c r="G277" t="s">
        <v>476</v>
      </c>
      <c r="H277" s="3">
        <v>0</v>
      </c>
      <c r="I277" s="3">
        <v>0</v>
      </c>
      <c r="J277" s="3">
        <v>0</v>
      </c>
      <c r="K277" s="3">
        <v>64.58</v>
      </c>
      <c r="L277" s="3">
        <v>0</v>
      </c>
      <c r="M277" s="3">
        <v>0</v>
      </c>
      <c r="N277" s="3">
        <v>0</v>
      </c>
      <c r="O277" s="3">
        <v>8.3954000000000004</v>
      </c>
      <c r="P277" s="3">
        <v>72.975399999999993</v>
      </c>
      <c r="Q277">
        <v>3</v>
      </c>
    </row>
    <row r="278" spans="1:17" x14ac:dyDescent="0.25">
      <c r="A278" t="s">
        <v>744</v>
      </c>
      <c r="B278" t="s">
        <v>768</v>
      </c>
      <c r="C278" t="s">
        <v>1</v>
      </c>
      <c r="D278" t="s">
        <v>0</v>
      </c>
      <c r="E278">
        <v>1979</v>
      </c>
      <c r="F278" t="s">
        <v>475</v>
      </c>
      <c r="G278" t="s">
        <v>476</v>
      </c>
      <c r="H278" s="3">
        <v>0</v>
      </c>
      <c r="I278" s="3">
        <v>0</v>
      </c>
      <c r="J278" s="3">
        <v>0</v>
      </c>
      <c r="K278" s="3">
        <v>56.26</v>
      </c>
      <c r="L278" s="3">
        <v>0</v>
      </c>
      <c r="M278" s="3">
        <v>0</v>
      </c>
      <c r="N278" s="3">
        <v>0</v>
      </c>
      <c r="O278" s="3">
        <v>7.3137999999999996</v>
      </c>
      <c r="P278" s="3">
        <v>63.573799999999999</v>
      </c>
      <c r="Q278">
        <v>3</v>
      </c>
    </row>
    <row r="279" spans="1:17" x14ac:dyDescent="0.25">
      <c r="A279" t="s">
        <v>744</v>
      </c>
      <c r="B279" t="s">
        <v>768</v>
      </c>
      <c r="C279" t="s">
        <v>1</v>
      </c>
      <c r="D279" t="s">
        <v>0</v>
      </c>
      <c r="E279">
        <v>1967</v>
      </c>
      <c r="F279" t="s">
        <v>475</v>
      </c>
      <c r="G279" t="s">
        <v>476</v>
      </c>
      <c r="H279" s="3">
        <v>0</v>
      </c>
      <c r="I279" s="3">
        <v>0</v>
      </c>
      <c r="J279" s="3">
        <v>0</v>
      </c>
      <c r="K279" s="3">
        <v>90.97</v>
      </c>
      <c r="L279" s="3">
        <v>0</v>
      </c>
      <c r="M279" s="3">
        <v>0</v>
      </c>
      <c r="N279" s="3">
        <v>0</v>
      </c>
      <c r="O279" s="3">
        <v>11.8261</v>
      </c>
      <c r="P279" s="3">
        <v>102.7961</v>
      </c>
      <c r="Q279">
        <v>3</v>
      </c>
    </row>
    <row r="280" spans="1:17" x14ac:dyDescent="0.25">
      <c r="A280" t="s">
        <v>744</v>
      </c>
      <c r="B280" t="s">
        <v>768</v>
      </c>
      <c r="C280" t="s">
        <v>1</v>
      </c>
      <c r="D280" t="s">
        <v>0</v>
      </c>
      <c r="E280">
        <v>17206</v>
      </c>
      <c r="F280" t="s">
        <v>453</v>
      </c>
      <c r="G280" t="s">
        <v>454</v>
      </c>
      <c r="H280" s="3">
        <v>0</v>
      </c>
      <c r="I280" s="3">
        <v>0</v>
      </c>
      <c r="J280" s="3">
        <v>0</v>
      </c>
      <c r="K280" s="3">
        <v>3.2</v>
      </c>
      <c r="L280" s="3">
        <v>0</v>
      </c>
      <c r="M280" s="3">
        <v>0</v>
      </c>
      <c r="N280" s="3">
        <v>0</v>
      </c>
      <c r="O280" s="3">
        <v>0.41600000000000004</v>
      </c>
      <c r="P280" s="3">
        <v>3.6160000000000001</v>
      </c>
      <c r="Q280">
        <v>3</v>
      </c>
    </row>
    <row r="281" spans="1:17" x14ac:dyDescent="0.25">
      <c r="A281" t="s">
        <v>744</v>
      </c>
      <c r="B281" t="s">
        <v>768</v>
      </c>
      <c r="C281" t="s">
        <v>1</v>
      </c>
      <c r="D281" t="s">
        <v>0</v>
      </c>
      <c r="E281">
        <v>177488</v>
      </c>
      <c r="F281" t="s">
        <v>425</v>
      </c>
      <c r="G281" t="s">
        <v>426</v>
      </c>
      <c r="H281" s="3">
        <v>2.58</v>
      </c>
      <c r="I281" s="3">
        <v>0</v>
      </c>
      <c r="J281" s="3">
        <v>0</v>
      </c>
      <c r="K281" s="3">
        <v>25.15</v>
      </c>
      <c r="L281" s="3">
        <v>0</v>
      </c>
      <c r="M281" s="3">
        <v>0</v>
      </c>
      <c r="N281" s="3">
        <v>0</v>
      </c>
      <c r="O281" s="3">
        <v>3.2694999999999999</v>
      </c>
      <c r="P281" s="3">
        <v>30.999499999999998</v>
      </c>
      <c r="Q281">
        <v>3</v>
      </c>
    </row>
    <row r="282" spans="1:17" x14ac:dyDescent="0.25">
      <c r="A282" t="s">
        <v>744</v>
      </c>
      <c r="B282" t="s">
        <v>768</v>
      </c>
      <c r="C282" t="s">
        <v>1</v>
      </c>
      <c r="D282" t="s">
        <v>0</v>
      </c>
      <c r="E282">
        <v>327</v>
      </c>
      <c r="F282" t="s">
        <v>484</v>
      </c>
      <c r="G282" t="s">
        <v>485</v>
      </c>
      <c r="H282" s="3">
        <v>0</v>
      </c>
      <c r="I282" s="3">
        <v>0</v>
      </c>
      <c r="J282" s="3">
        <v>0</v>
      </c>
      <c r="K282" s="3">
        <v>45</v>
      </c>
      <c r="L282" s="3">
        <v>0</v>
      </c>
      <c r="M282" s="3">
        <v>0</v>
      </c>
      <c r="N282" s="3">
        <v>0</v>
      </c>
      <c r="O282" s="3">
        <v>5.8500000000000005</v>
      </c>
      <c r="P282" s="3">
        <v>50.85</v>
      </c>
      <c r="Q282">
        <v>3</v>
      </c>
    </row>
    <row r="283" spans="1:17" x14ac:dyDescent="0.25">
      <c r="A283" t="s">
        <v>744</v>
      </c>
      <c r="B283" t="s">
        <v>768</v>
      </c>
      <c r="C283" t="s">
        <v>1</v>
      </c>
      <c r="D283" t="s">
        <v>0</v>
      </c>
      <c r="E283">
        <v>177455</v>
      </c>
      <c r="F283" t="s">
        <v>425</v>
      </c>
      <c r="G283" t="s">
        <v>426</v>
      </c>
      <c r="H283" s="3">
        <v>3.0300000000000002</v>
      </c>
      <c r="I283" s="3">
        <v>0</v>
      </c>
      <c r="J283" s="3">
        <v>0</v>
      </c>
      <c r="K283" s="3">
        <v>26.77</v>
      </c>
      <c r="L283" s="3">
        <v>0</v>
      </c>
      <c r="M283" s="3">
        <v>0</v>
      </c>
      <c r="N283" s="3">
        <v>0</v>
      </c>
      <c r="O283" s="3">
        <v>3.4801000000000002</v>
      </c>
      <c r="P283" s="3">
        <v>33.280100000000004</v>
      </c>
      <c r="Q283">
        <v>3</v>
      </c>
    </row>
    <row r="284" spans="1:17" x14ac:dyDescent="0.25">
      <c r="A284" t="s">
        <v>744</v>
      </c>
      <c r="B284" t="s">
        <v>768</v>
      </c>
      <c r="C284" t="s">
        <v>1</v>
      </c>
      <c r="D284" t="s">
        <v>0</v>
      </c>
      <c r="E284">
        <v>69888</v>
      </c>
      <c r="F284" t="s">
        <v>418</v>
      </c>
      <c r="G284" t="s">
        <v>419</v>
      </c>
      <c r="H284" s="3">
        <v>8.8500000000000014</v>
      </c>
      <c r="I284" s="3">
        <v>0</v>
      </c>
      <c r="J284" s="3">
        <v>0</v>
      </c>
      <c r="K284" s="3">
        <v>78.010000000000005</v>
      </c>
      <c r="L284" s="3">
        <v>0</v>
      </c>
      <c r="M284" s="3">
        <v>0</v>
      </c>
      <c r="N284" s="3">
        <v>0</v>
      </c>
      <c r="O284" s="3">
        <v>10.141300000000001</v>
      </c>
      <c r="P284" s="3">
        <v>97.001300000000015</v>
      </c>
      <c r="Q284">
        <v>3</v>
      </c>
    </row>
    <row r="285" spans="1:17" x14ac:dyDescent="0.25">
      <c r="A285" t="s">
        <v>744</v>
      </c>
      <c r="B285" t="s">
        <v>768</v>
      </c>
      <c r="C285" t="s">
        <v>1</v>
      </c>
      <c r="D285" t="s">
        <v>0</v>
      </c>
      <c r="E285">
        <v>69788</v>
      </c>
      <c r="F285" t="s">
        <v>418</v>
      </c>
      <c r="G285" t="s">
        <v>419</v>
      </c>
      <c r="H285" s="3">
        <v>1.37</v>
      </c>
      <c r="I285" s="3">
        <v>0</v>
      </c>
      <c r="J285" s="3">
        <v>0</v>
      </c>
      <c r="K285" s="3">
        <v>12.06</v>
      </c>
      <c r="L285" s="3">
        <v>0</v>
      </c>
      <c r="M285" s="3">
        <v>0</v>
      </c>
      <c r="N285" s="3">
        <v>0</v>
      </c>
      <c r="O285" s="3">
        <v>1.5678000000000001</v>
      </c>
      <c r="P285" s="3">
        <v>14.9978</v>
      </c>
      <c r="Q285">
        <v>3</v>
      </c>
    </row>
    <row r="286" spans="1:17" x14ac:dyDescent="0.25">
      <c r="A286" t="s">
        <v>744</v>
      </c>
      <c r="B286" t="s">
        <v>724</v>
      </c>
      <c r="C286" t="s">
        <v>1</v>
      </c>
      <c r="D286" t="s">
        <v>0</v>
      </c>
      <c r="E286">
        <v>535881</v>
      </c>
      <c r="F286" t="s">
        <v>433</v>
      </c>
      <c r="G286" t="s">
        <v>434</v>
      </c>
      <c r="H286" s="3">
        <v>0</v>
      </c>
      <c r="I286" s="3">
        <v>0</v>
      </c>
      <c r="J286" s="3">
        <v>0</v>
      </c>
      <c r="K286" s="3">
        <v>74.19</v>
      </c>
      <c r="L286" s="3">
        <v>0</v>
      </c>
      <c r="M286" s="3">
        <v>0</v>
      </c>
      <c r="N286" s="3">
        <v>0</v>
      </c>
      <c r="O286" s="3">
        <v>9.6447000000000003</v>
      </c>
      <c r="P286" s="3">
        <v>83.834699999999998</v>
      </c>
      <c r="Q286">
        <v>3</v>
      </c>
    </row>
    <row r="287" spans="1:17" x14ac:dyDescent="0.25">
      <c r="A287" t="s">
        <v>744</v>
      </c>
      <c r="B287" t="s">
        <v>724</v>
      </c>
      <c r="C287" t="s">
        <v>1</v>
      </c>
      <c r="D287" t="s">
        <v>0</v>
      </c>
      <c r="E287">
        <v>495</v>
      </c>
      <c r="F287" t="s">
        <v>435</v>
      </c>
      <c r="G287" t="s">
        <v>436</v>
      </c>
      <c r="H287" s="3">
        <v>0</v>
      </c>
      <c r="I287" s="3">
        <v>0</v>
      </c>
      <c r="J287" s="3">
        <v>0</v>
      </c>
      <c r="K287" s="3">
        <v>1329.2</v>
      </c>
      <c r="L287" s="3">
        <v>0</v>
      </c>
      <c r="M287" s="3">
        <v>0</v>
      </c>
      <c r="N287" s="3">
        <v>0</v>
      </c>
      <c r="O287" s="3">
        <v>172.79600000000002</v>
      </c>
      <c r="P287" s="3">
        <v>1501.9960000000001</v>
      </c>
      <c r="Q287">
        <v>3</v>
      </c>
    </row>
    <row r="288" spans="1:17" x14ac:dyDescent="0.25">
      <c r="A288" t="s">
        <v>744</v>
      </c>
      <c r="B288" t="s">
        <v>770</v>
      </c>
      <c r="C288" t="s">
        <v>1</v>
      </c>
      <c r="D288" t="s">
        <v>0</v>
      </c>
      <c r="E288">
        <v>1996</v>
      </c>
      <c r="F288" t="s">
        <v>475</v>
      </c>
      <c r="G288" t="s">
        <v>476</v>
      </c>
      <c r="H288" s="3">
        <v>0</v>
      </c>
      <c r="I288" s="3">
        <v>0</v>
      </c>
      <c r="J288" s="3">
        <v>0</v>
      </c>
      <c r="K288" s="3">
        <v>56.26</v>
      </c>
      <c r="L288" s="3">
        <v>0</v>
      </c>
      <c r="M288" s="3">
        <v>0</v>
      </c>
      <c r="N288" s="3">
        <v>0</v>
      </c>
      <c r="O288" s="3">
        <v>7.3137999999999996</v>
      </c>
      <c r="P288" s="3">
        <v>63.573799999999999</v>
      </c>
      <c r="Q288">
        <v>3</v>
      </c>
    </row>
    <row r="289" spans="1:17" x14ac:dyDescent="0.25">
      <c r="A289" t="s">
        <v>744</v>
      </c>
      <c r="B289" t="s">
        <v>770</v>
      </c>
      <c r="C289" t="s">
        <v>1</v>
      </c>
      <c r="D289" t="s">
        <v>0</v>
      </c>
      <c r="E289">
        <v>1995</v>
      </c>
      <c r="F289" t="s">
        <v>475</v>
      </c>
      <c r="G289" t="s">
        <v>476</v>
      </c>
      <c r="H289" s="3">
        <v>0</v>
      </c>
      <c r="I289" s="3">
        <v>0</v>
      </c>
      <c r="J289" s="3">
        <v>0</v>
      </c>
      <c r="K289" s="3">
        <v>66.540000000000006</v>
      </c>
      <c r="L289" s="3">
        <v>0</v>
      </c>
      <c r="M289" s="3">
        <v>0</v>
      </c>
      <c r="N289" s="3">
        <v>0</v>
      </c>
      <c r="O289" s="3">
        <v>8.6502000000000017</v>
      </c>
      <c r="P289" s="3">
        <v>75.190200000000004</v>
      </c>
      <c r="Q289">
        <v>3</v>
      </c>
    </row>
    <row r="290" spans="1:17" x14ac:dyDescent="0.25">
      <c r="A290" t="s">
        <v>744</v>
      </c>
      <c r="B290" t="s">
        <v>770</v>
      </c>
      <c r="C290" t="s">
        <v>1</v>
      </c>
      <c r="D290" t="s">
        <v>0</v>
      </c>
      <c r="E290">
        <v>177541</v>
      </c>
      <c r="F290" t="s">
        <v>425</v>
      </c>
      <c r="G290" t="s">
        <v>426</v>
      </c>
      <c r="H290" s="3">
        <v>1.55</v>
      </c>
      <c r="I290" s="3">
        <v>0</v>
      </c>
      <c r="J290" s="3">
        <v>0</v>
      </c>
      <c r="K290" s="3">
        <v>13.74</v>
      </c>
      <c r="L290" s="3">
        <v>0</v>
      </c>
      <c r="M290" s="3">
        <v>0</v>
      </c>
      <c r="N290" s="3">
        <v>0</v>
      </c>
      <c r="O290" s="3">
        <v>1.7862</v>
      </c>
      <c r="P290" s="3">
        <v>17.0762</v>
      </c>
      <c r="Q290">
        <v>3</v>
      </c>
    </row>
    <row r="291" spans="1:17" x14ac:dyDescent="0.25">
      <c r="A291" t="s">
        <v>744</v>
      </c>
      <c r="B291" t="s">
        <v>770</v>
      </c>
      <c r="C291" t="s">
        <v>1</v>
      </c>
      <c r="D291" t="s">
        <v>0</v>
      </c>
      <c r="E291">
        <v>177548</v>
      </c>
      <c r="F291" t="s">
        <v>425</v>
      </c>
      <c r="G291" t="s">
        <v>426</v>
      </c>
      <c r="H291" s="3">
        <v>5.41</v>
      </c>
      <c r="I291" s="3">
        <v>0</v>
      </c>
      <c r="J291" s="3">
        <v>0</v>
      </c>
      <c r="K291" s="3">
        <v>47.75</v>
      </c>
      <c r="L291" s="3">
        <v>0</v>
      </c>
      <c r="M291" s="3">
        <v>0</v>
      </c>
      <c r="N291" s="3">
        <v>0</v>
      </c>
      <c r="O291" s="3">
        <v>6.2075000000000005</v>
      </c>
      <c r="P291" s="3">
        <v>59.3675</v>
      </c>
      <c r="Q291">
        <v>3</v>
      </c>
    </row>
    <row r="292" spans="1:17" x14ac:dyDescent="0.25">
      <c r="A292" t="s">
        <v>744</v>
      </c>
      <c r="B292" t="s">
        <v>769</v>
      </c>
      <c r="C292" t="s">
        <v>1</v>
      </c>
      <c r="D292" t="s">
        <v>0</v>
      </c>
      <c r="E292">
        <v>2001</v>
      </c>
      <c r="F292" t="s">
        <v>475</v>
      </c>
      <c r="G292" t="s">
        <v>476</v>
      </c>
      <c r="H292" s="3">
        <v>0</v>
      </c>
      <c r="I292" s="3">
        <v>0</v>
      </c>
      <c r="J292" s="3">
        <v>0</v>
      </c>
      <c r="K292" s="3">
        <v>38.75</v>
      </c>
      <c r="L292" s="3">
        <v>0</v>
      </c>
      <c r="M292" s="3">
        <v>0</v>
      </c>
      <c r="N292" s="3">
        <v>0</v>
      </c>
      <c r="O292" s="3">
        <v>5.0375000000000005</v>
      </c>
      <c r="P292" s="3">
        <v>43.787500000000001</v>
      </c>
      <c r="Q292">
        <v>3</v>
      </c>
    </row>
    <row r="293" spans="1:17" x14ac:dyDescent="0.25">
      <c r="A293" t="s">
        <v>744</v>
      </c>
      <c r="B293" t="s">
        <v>769</v>
      </c>
      <c r="C293" t="s">
        <v>1</v>
      </c>
      <c r="D293" t="s">
        <v>0</v>
      </c>
      <c r="E293">
        <v>177705</v>
      </c>
      <c r="F293" t="s">
        <v>425</v>
      </c>
      <c r="G293" t="s">
        <v>426</v>
      </c>
      <c r="H293" s="3">
        <v>9.1300000000000008</v>
      </c>
      <c r="I293" s="3">
        <v>0</v>
      </c>
      <c r="J293" s="3">
        <v>0</v>
      </c>
      <c r="K293" s="3">
        <v>80.42</v>
      </c>
      <c r="L293" s="3">
        <v>0</v>
      </c>
      <c r="M293" s="3">
        <v>0</v>
      </c>
      <c r="N293" s="3">
        <v>0</v>
      </c>
      <c r="O293" s="3">
        <v>10.454600000000001</v>
      </c>
      <c r="P293" s="3">
        <v>100.0046</v>
      </c>
      <c r="Q293">
        <v>3</v>
      </c>
    </row>
    <row r="294" spans="1:17" x14ac:dyDescent="0.25">
      <c r="A294" t="s">
        <v>701</v>
      </c>
      <c r="B294" t="s">
        <v>702</v>
      </c>
      <c r="C294" t="s">
        <v>1</v>
      </c>
      <c r="D294" t="s">
        <v>0</v>
      </c>
      <c r="E294">
        <v>714</v>
      </c>
      <c r="F294" t="s">
        <v>475</v>
      </c>
      <c r="G294" t="s">
        <v>476</v>
      </c>
      <c r="H294" s="3">
        <v>0</v>
      </c>
      <c r="I294" s="3">
        <v>0</v>
      </c>
      <c r="J294" s="3">
        <v>0</v>
      </c>
      <c r="K294" s="3">
        <v>56.26</v>
      </c>
      <c r="L294" s="3">
        <v>0</v>
      </c>
      <c r="M294" s="3">
        <v>0</v>
      </c>
      <c r="N294" s="3">
        <v>0</v>
      </c>
      <c r="O294" s="3">
        <v>7.3137999999999996</v>
      </c>
      <c r="P294" s="3">
        <v>63.573799999999999</v>
      </c>
      <c r="Q294">
        <v>3</v>
      </c>
    </row>
    <row r="295" spans="1:17" x14ac:dyDescent="0.25">
      <c r="A295" t="s">
        <v>701</v>
      </c>
      <c r="B295" t="s">
        <v>702</v>
      </c>
      <c r="C295" t="s">
        <v>1</v>
      </c>
      <c r="D295" t="s">
        <v>0</v>
      </c>
      <c r="E295">
        <v>55540</v>
      </c>
      <c r="F295" t="s">
        <v>418</v>
      </c>
      <c r="G295" t="s">
        <v>419</v>
      </c>
      <c r="H295" s="3">
        <v>12.36</v>
      </c>
      <c r="I295" s="3">
        <v>0</v>
      </c>
      <c r="J295" s="3">
        <v>0</v>
      </c>
      <c r="K295" s="3">
        <v>121.81</v>
      </c>
      <c r="L295" s="3">
        <v>0</v>
      </c>
      <c r="M295" s="3">
        <v>0</v>
      </c>
      <c r="N295" s="3">
        <v>0</v>
      </c>
      <c r="O295" s="3">
        <v>15.8353</v>
      </c>
      <c r="P295" s="3">
        <v>150.00530000000001</v>
      </c>
      <c r="Q295">
        <v>3</v>
      </c>
    </row>
    <row r="296" spans="1:17" x14ac:dyDescent="0.25">
      <c r="A296" t="s">
        <v>701</v>
      </c>
      <c r="B296" t="s">
        <v>702</v>
      </c>
      <c r="C296" t="s">
        <v>1</v>
      </c>
      <c r="D296" t="s">
        <v>0</v>
      </c>
      <c r="E296">
        <v>55261</v>
      </c>
      <c r="F296" t="s">
        <v>418</v>
      </c>
      <c r="G296" t="s">
        <v>419</v>
      </c>
      <c r="H296" s="3">
        <v>10.71</v>
      </c>
      <c r="I296" s="3">
        <v>0</v>
      </c>
      <c r="J296" s="3">
        <v>0</v>
      </c>
      <c r="K296" s="3">
        <v>101.38</v>
      </c>
      <c r="L296" s="3">
        <v>0</v>
      </c>
      <c r="M296" s="3">
        <v>0</v>
      </c>
      <c r="N296" s="3">
        <v>0</v>
      </c>
      <c r="O296" s="3">
        <v>13.179399999999999</v>
      </c>
      <c r="P296" s="3">
        <v>125.2694</v>
      </c>
      <c r="Q296">
        <v>3</v>
      </c>
    </row>
    <row r="297" spans="1:17" x14ac:dyDescent="0.25">
      <c r="A297" t="s">
        <v>701</v>
      </c>
      <c r="B297" t="s">
        <v>729</v>
      </c>
      <c r="C297" t="s">
        <v>1</v>
      </c>
      <c r="D297" t="s">
        <v>0</v>
      </c>
      <c r="E297">
        <v>206392</v>
      </c>
      <c r="F297" t="s">
        <v>440</v>
      </c>
      <c r="G297" t="s">
        <v>441</v>
      </c>
      <c r="H297" s="3">
        <v>5.1899999999999995</v>
      </c>
      <c r="I297" s="3">
        <v>0</v>
      </c>
      <c r="J297" s="3">
        <v>0</v>
      </c>
      <c r="K297" s="3">
        <v>48.51</v>
      </c>
      <c r="L297" s="3">
        <v>0</v>
      </c>
      <c r="M297" s="3">
        <v>0</v>
      </c>
      <c r="N297" s="3">
        <v>0</v>
      </c>
      <c r="O297" s="3">
        <v>6.3063000000000002</v>
      </c>
      <c r="P297" s="3">
        <v>60.006299999999996</v>
      </c>
      <c r="Q297">
        <v>3</v>
      </c>
    </row>
    <row r="298" spans="1:17" x14ac:dyDescent="0.25">
      <c r="A298" t="s">
        <v>701</v>
      </c>
      <c r="B298" t="s">
        <v>703</v>
      </c>
      <c r="C298" t="s">
        <v>1</v>
      </c>
      <c r="D298" t="s">
        <v>0</v>
      </c>
      <c r="E298">
        <v>720</v>
      </c>
      <c r="F298" t="s">
        <v>475</v>
      </c>
      <c r="G298" t="s">
        <v>476</v>
      </c>
      <c r="H298" s="3">
        <v>0</v>
      </c>
      <c r="I298" s="3">
        <v>0</v>
      </c>
      <c r="J298" s="3">
        <v>0</v>
      </c>
      <c r="K298" s="3">
        <v>56.26</v>
      </c>
      <c r="L298" s="3">
        <v>0</v>
      </c>
      <c r="M298" s="3">
        <v>0</v>
      </c>
      <c r="N298" s="3">
        <v>0</v>
      </c>
      <c r="O298" s="3">
        <v>7.3137999999999996</v>
      </c>
      <c r="P298" s="3">
        <v>63.573799999999999</v>
      </c>
      <c r="Q298">
        <v>3</v>
      </c>
    </row>
    <row r="299" spans="1:17" x14ac:dyDescent="0.25">
      <c r="A299" t="s">
        <v>701</v>
      </c>
      <c r="B299" t="s">
        <v>703</v>
      </c>
      <c r="C299" t="s">
        <v>1</v>
      </c>
      <c r="D299" t="s">
        <v>0</v>
      </c>
      <c r="E299">
        <v>726</v>
      </c>
      <c r="F299" t="s">
        <v>475</v>
      </c>
      <c r="G299" t="s">
        <v>476</v>
      </c>
      <c r="H299" s="3">
        <v>0</v>
      </c>
      <c r="I299" s="3">
        <v>0</v>
      </c>
      <c r="J299" s="3">
        <v>0</v>
      </c>
      <c r="K299" s="3">
        <v>83.95</v>
      </c>
      <c r="L299" s="3">
        <v>0</v>
      </c>
      <c r="M299" s="3">
        <v>0</v>
      </c>
      <c r="N299" s="3">
        <v>0</v>
      </c>
      <c r="O299" s="3">
        <v>10.913500000000001</v>
      </c>
      <c r="P299" s="3">
        <v>94.863500000000002</v>
      </c>
      <c r="Q299">
        <v>3</v>
      </c>
    </row>
    <row r="300" spans="1:17" x14ac:dyDescent="0.25">
      <c r="A300" t="s">
        <v>701</v>
      </c>
      <c r="B300" t="s">
        <v>703</v>
      </c>
      <c r="C300" t="s">
        <v>1</v>
      </c>
      <c r="D300" t="s">
        <v>0</v>
      </c>
      <c r="E300">
        <v>747</v>
      </c>
      <c r="F300" t="s">
        <v>475</v>
      </c>
      <c r="G300" t="s">
        <v>476</v>
      </c>
      <c r="H300" s="3">
        <v>0</v>
      </c>
      <c r="I300" s="3">
        <v>0</v>
      </c>
      <c r="J300" s="3">
        <v>0</v>
      </c>
      <c r="K300" s="3">
        <v>56.26</v>
      </c>
      <c r="L300" s="3">
        <v>0</v>
      </c>
      <c r="M300" s="3">
        <v>0</v>
      </c>
      <c r="N300" s="3">
        <v>0</v>
      </c>
      <c r="O300" s="3">
        <v>7.3137999999999996</v>
      </c>
      <c r="P300" s="3">
        <v>63.573799999999999</v>
      </c>
      <c r="Q300">
        <v>3</v>
      </c>
    </row>
    <row r="301" spans="1:17" x14ac:dyDescent="0.25">
      <c r="A301" t="s">
        <v>701</v>
      </c>
      <c r="B301" t="s">
        <v>703</v>
      </c>
      <c r="C301" t="s">
        <v>1</v>
      </c>
      <c r="D301" t="s">
        <v>0</v>
      </c>
      <c r="E301">
        <v>719</v>
      </c>
      <c r="F301" t="s">
        <v>475</v>
      </c>
      <c r="G301" t="s">
        <v>476</v>
      </c>
      <c r="H301" s="3">
        <v>0</v>
      </c>
      <c r="I301" s="3">
        <v>0</v>
      </c>
      <c r="J301" s="3">
        <v>0</v>
      </c>
      <c r="K301" s="3">
        <v>56.26</v>
      </c>
      <c r="L301" s="3">
        <v>0</v>
      </c>
      <c r="M301" s="3">
        <v>0</v>
      </c>
      <c r="N301" s="3">
        <v>0</v>
      </c>
      <c r="O301" s="3">
        <v>7.3137999999999996</v>
      </c>
      <c r="P301" s="3">
        <v>63.573799999999999</v>
      </c>
      <c r="Q301">
        <v>3</v>
      </c>
    </row>
    <row r="302" spans="1:17" x14ac:dyDescent="0.25">
      <c r="A302" t="s">
        <v>701</v>
      </c>
      <c r="B302" t="s">
        <v>703</v>
      </c>
      <c r="C302" t="s">
        <v>1</v>
      </c>
      <c r="D302" t="s">
        <v>0</v>
      </c>
      <c r="E302">
        <v>721</v>
      </c>
      <c r="F302" t="s">
        <v>475</v>
      </c>
      <c r="G302" t="s">
        <v>476</v>
      </c>
      <c r="H302" s="3">
        <v>0</v>
      </c>
      <c r="I302" s="3">
        <v>0</v>
      </c>
      <c r="J302" s="3">
        <v>0</v>
      </c>
      <c r="K302" s="3">
        <v>30.6</v>
      </c>
      <c r="L302" s="3">
        <v>0</v>
      </c>
      <c r="M302" s="3">
        <v>0</v>
      </c>
      <c r="N302" s="3">
        <v>0</v>
      </c>
      <c r="O302" s="3">
        <v>3.9780000000000002</v>
      </c>
      <c r="P302" s="3">
        <v>34.578000000000003</v>
      </c>
      <c r="Q302">
        <v>3</v>
      </c>
    </row>
    <row r="303" spans="1:17" x14ac:dyDescent="0.25">
      <c r="A303" t="s">
        <v>701</v>
      </c>
      <c r="B303" t="s">
        <v>703</v>
      </c>
      <c r="C303" t="s">
        <v>1</v>
      </c>
      <c r="D303" t="s">
        <v>0</v>
      </c>
      <c r="E303">
        <v>15138</v>
      </c>
      <c r="F303" t="s">
        <v>453</v>
      </c>
      <c r="G303" t="s">
        <v>454</v>
      </c>
      <c r="H303" s="3">
        <v>0</v>
      </c>
      <c r="I303" s="3">
        <v>0</v>
      </c>
      <c r="J303" s="3">
        <v>0</v>
      </c>
      <c r="K303" s="3">
        <v>13.5</v>
      </c>
      <c r="L303" s="3">
        <v>0</v>
      </c>
      <c r="M303" s="3">
        <v>0</v>
      </c>
      <c r="N303" s="3">
        <v>0</v>
      </c>
      <c r="O303" s="3">
        <v>1.7550000000000001</v>
      </c>
      <c r="P303" s="3">
        <v>15.255000000000001</v>
      </c>
      <c r="Q303">
        <v>3</v>
      </c>
    </row>
    <row r="304" spans="1:17" x14ac:dyDescent="0.25">
      <c r="A304" t="s">
        <v>701</v>
      </c>
      <c r="B304" t="s">
        <v>703</v>
      </c>
      <c r="C304" t="s">
        <v>1</v>
      </c>
      <c r="D304" t="s">
        <v>0</v>
      </c>
      <c r="E304">
        <v>15147</v>
      </c>
      <c r="F304" t="s">
        <v>453</v>
      </c>
      <c r="G304" t="s">
        <v>454</v>
      </c>
      <c r="H304" s="3">
        <v>0</v>
      </c>
      <c r="I304" s="3">
        <v>0</v>
      </c>
      <c r="J304" s="3">
        <v>0</v>
      </c>
      <c r="K304" s="3">
        <v>18</v>
      </c>
      <c r="L304" s="3">
        <v>0</v>
      </c>
      <c r="M304" s="3">
        <v>0</v>
      </c>
      <c r="N304" s="3">
        <v>0</v>
      </c>
      <c r="O304" s="3">
        <v>2.34</v>
      </c>
      <c r="P304" s="3">
        <v>20.34</v>
      </c>
      <c r="Q304">
        <v>3</v>
      </c>
    </row>
    <row r="305" spans="1:17" x14ac:dyDescent="0.25">
      <c r="A305" t="s">
        <v>701</v>
      </c>
      <c r="B305" t="s">
        <v>703</v>
      </c>
      <c r="C305" t="s">
        <v>1</v>
      </c>
      <c r="D305" t="s">
        <v>0</v>
      </c>
      <c r="E305">
        <v>4189</v>
      </c>
      <c r="F305" t="s">
        <v>465</v>
      </c>
      <c r="G305" t="s">
        <v>466</v>
      </c>
      <c r="H305" s="3">
        <v>0</v>
      </c>
      <c r="I305" s="3">
        <v>0</v>
      </c>
      <c r="J305" s="3">
        <v>0</v>
      </c>
      <c r="K305" s="3">
        <v>33.18</v>
      </c>
      <c r="L305" s="3">
        <v>0</v>
      </c>
      <c r="M305" s="3">
        <v>0</v>
      </c>
      <c r="N305" s="3">
        <v>0</v>
      </c>
      <c r="O305" s="3">
        <v>4.3133999999999997</v>
      </c>
      <c r="P305" s="3">
        <v>37.493400000000001</v>
      </c>
      <c r="Q305">
        <v>3</v>
      </c>
    </row>
    <row r="306" spans="1:17" x14ac:dyDescent="0.25">
      <c r="A306" t="s">
        <v>701</v>
      </c>
      <c r="B306" t="s">
        <v>703</v>
      </c>
      <c r="C306" t="s">
        <v>1</v>
      </c>
      <c r="D306" t="s">
        <v>0</v>
      </c>
      <c r="E306">
        <v>169473</v>
      </c>
      <c r="F306" t="s">
        <v>425</v>
      </c>
      <c r="G306" t="s">
        <v>426</v>
      </c>
      <c r="H306" s="3">
        <v>2.4699999999999998</v>
      </c>
      <c r="I306" s="3">
        <v>0</v>
      </c>
      <c r="J306" s="3">
        <v>0</v>
      </c>
      <c r="K306" s="3">
        <v>24.36</v>
      </c>
      <c r="L306" s="3">
        <v>0</v>
      </c>
      <c r="M306" s="3">
        <v>0</v>
      </c>
      <c r="N306" s="3">
        <v>0</v>
      </c>
      <c r="O306" s="3">
        <v>3.1667999999999998</v>
      </c>
      <c r="P306" s="3">
        <v>29.996799999999997</v>
      </c>
      <c r="Q306">
        <v>3</v>
      </c>
    </row>
    <row r="307" spans="1:17" x14ac:dyDescent="0.25">
      <c r="A307" t="s">
        <v>701</v>
      </c>
      <c r="B307" t="s">
        <v>703</v>
      </c>
      <c r="C307" t="s">
        <v>1</v>
      </c>
      <c r="D307" t="s">
        <v>0</v>
      </c>
      <c r="E307">
        <v>55727</v>
      </c>
      <c r="F307" t="s">
        <v>418</v>
      </c>
      <c r="G307" t="s">
        <v>419</v>
      </c>
      <c r="H307" s="3">
        <v>1.56</v>
      </c>
      <c r="I307" s="3">
        <v>0</v>
      </c>
      <c r="J307" s="3">
        <v>0</v>
      </c>
      <c r="K307" s="3">
        <v>15.43</v>
      </c>
      <c r="L307" s="3">
        <v>0</v>
      </c>
      <c r="M307" s="3">
        <v>0</v>
      </c>
      <c r="N307" s="3">
        <v>0</v>
      </c>
      <c r="O307" s="3">
        <v>2.0059</v>
      </c>
      <c r="P307" s="3">
        <v>18.995899999999999</v>
      </c>
      <c r="Q307">
        <v>3</v>
      </c>
    </row>
    <row r="308" spans="1:17" x14ac:dyDescent="0.25">
      <c r="A308" t="s">
        <v>701</v>
      </c>
      <c r="B308" t="s">
        <v>704</v>
      </c>
      <c r="C308" t="s">
        <v>1</v>
      </c>
      <c r="D308" t="s">
        <v>0</v>
      </c>
      <c r="E308">
        <v>735</v>
      </c>
      <c r="F308" t="s">
        <v>475</v>
      </c>
      <c r="G308" t="s">
        <v>476</v>
      </c>
      <c r="H308" s="3">
        <v>0</v>
      </c>
      <c r="I308" s="3">
        <v>0</v>
      </c>
      <c r="J308" s="3">
        <v>0</v>
      </c>
      <c r="K308" s="3">
        <v>56.26</v>
      </c>
      <c r="L308" s="3">
        <v>0</v>
      </c>
      <c r="M308" s="3">
        <v>0</v>
      </c>
      <c r="N308" s="3">
        <v>0</v>
      </c>
      <c r="O308" s="3">
        <v>7.3137999999999996</v>
      </c>
      <c r="P308" s="3">
        <v>63.573799999999999</v>
      </c>
      <c r="Q308">
        <v>3</v>
      </c>
    </row>
    <row r="309" spans="1:17" x14ac:dyDescent="0.25">
      <c r="A309" t="s">
        <v>701</v>
      </c>
      <c r="B309" t="s">
        <v>704</v>
      </c>
      <c r="C309" t="s">
        <v>1</v>
      </c>
      <c r="D309" t="s">
        <v>0</v>
      </c>
      <c r="E309">
        <v>736</v>
      </c>
      <c r="F309" t="s">
        <v>475</v>
      </c>
      <c r="G309" t="s">
        <v>476</v>
      </c>
      <c r="H309" s="3">
        <v>0</v>
      </c>
      <c r="I309" s="3">
        <v>0</v>
      </c>
      <c r="J309" s="3">
        <v>0</v>
      </c>
      <c r="K309" s="3">
        <v>37.340000000000003</v>
      </c>
      <c r="L309" s="3">
        <v>0</v>
      </c>
      <c r="M309" s="3">
        <v>0</v>
      </c>
      <c r="N309" s="3">
        <v>0</v>
      </c>
      <c r="O309" s="3">
        <v>4.8542000000000005</v>
      </c>
      <c r="P309" s="3">
        <v>42.194200000000002</v>
      </c>
      <c r="Q309">
        <v>3</v>
      </c>
    </row>
    <row r="310" spans="1:17" x14ac:dyDescent="0.25">
      <c r="A310" t="s">
        <v>701</v>
      </c>
      <c r="B310" t="s">
        <v>704</v>
      </c>
      <c r="C310" t="s">
        <v>1</v>
      </c>
      <c r="D310" t="s">
        <v>0</v>
      </c>
      <c r="E310">
        <v>169720</v>
      </c>
      <c r="F310" t="s">
        <v>425</v>
      </c>
      <c r="G310" t="s">
        <v>426</v>
      </c>
      <c r="H310" s="3">
        <v>2.13</v>
      </c>
      <c r="I310" s="3">
        <v>0</v>
      </c>
      <c r="J310" s="3">
        <v>0</v>
      </c>
      <c r="K310" s="3">
        <v>23.2</v>
      </c>
      <c r="L310" s="3">
        <v>0</v>
      </c>
      <c r="M310" s="3">
        <v>0</v>
      </c>
      <c r="N310" s="3">
        <v>0</v>
      </c>
      <c r="O310" s="3">
        <v>3.016</v>
      </c>
      <c r="P310" s="3">
        <v>28.345999999999997</v>
      </c>
      <c r="Q310">
        <v>3</v>
      </c>
    </row>
    <row r="311" spans="1:17" x14ac:dyDescent="0.25">
      <c r="A311" t="s">
        <v>701</v>
      </c>
      <c r="B311" t="s">
        <v>704</v>
      </c>
      <c r="C311" t="s">
        <v>1</v>
      </c>
      <c r="D311" t="s">
        <v>0</v>
      </c>
      <c r="E311">
        <v>56101</v>
      </c>
      <c r="F311" t="s">
        <v>418</v>
      </c>
      <c r="G311" t="s">
        <v>419</v>
      </c>
      <c r="H311" s="3">
        <v>9.08</v>
      </c>
      <c r="I311" s="3">
        <v>0</v>
      </c>
      <c r="J311" s="3">
        <v>0</v>
      </c>
      <c r="K311" s="3">
        <v>89.44</v>
      </c>
      <c r="L311" s="3">
        <v>0</v>
      </c>
      <c r="M311" s="3">
        <v>0</v>
      </c>
      <c r="N311" s="3">
        <v>0</v>
      </c>
      <c r="O311" s="3">
        <v>11.6272</v>
      </c>
      <c r="P311" s="3">
        <v>110.1472</v>
      </c>
      <c r="Q311">
        <v>3</v>
      </c>
    </row>
    <row r="312" spans="1:17" x14ac:dyDescent="0.25">
      <c r="A312" t="s">
        <v>701</v>
      </c>
      <c r="B312" t="s">
        <v>705</v>
      </c>
      <c r="C312" t="s">
        <v>1</v>
      </c>
      <c r="D312" t="s">
        <v>0</v>
      </c>
      <c r="E312">
        <v>742</v>
      </c>
      <c r="F312" t="s">
        <v>475</v>
      </c>
      <c r="G312" t="s">
        <v>476</v>
      </c>
      <c r="H312" s="3">
        <v>0</v>
      </c>
      <c r="I312" s="3">
        <v>0</v>
      </c>
      <c r="J312" s="3">
        <v>0</v>
      </c>
      <c r="K312" s="3">
        <v>37.06</v>
      </c>
      <c r="L312" s="3">
        <v>0</v>
      </c>
      <c r="M312" s="3">
        <v>0</v>
      </c>
      <c r="N312" s="3">
        <v>0</v>
      </c>
      <c r="O312" s="3">
        <v>4.8178000000000001</v>
      </c>
      <c r="P312" s="3">
        <v>41.877800000000001</v>
      </c>
      <c r="Q312">
        <v>3</v>
      </c>
    </row>
    <row r="313" spans="1:17" x14ac:dyDescent="0.25">
      <c r="A313" t="s">
        <v>701</v>
      </c>
      <c r="B313" t="s">
        <v>705</v>
      </c>
      <c r="C313" t="s">
        <v>1</v>
      </c>
      <c r="D313" t="s">
        <v>0</v>
      </c>
      <c r="E313">
        <v>3966</v>
      </c>
      <c r="F313" t="s">
        <v>730</v>
      </c>
      <c r="G313" t="s">
        <v>731</v>
      </c>
      <c r="H313" s="3">
        <v>0</v>
      </c>
      <c r="I313" s="3">
        <v>0</v>
      </c>
      <c r="J313" s="3">
        <v>0</v>
      </c>
      <c r="K313" s="3">
        <v>76.98</v>
      </c>
      <c r="L313" s="3">
        <v>0</v>
      </c>
      <c r="M313" s="3">
        <v>0</v>
      </c>
      <c r="N313" s="3">
        <v>0</v>
      </c>
      <c r="O313" s="3">
        <v>10.007400000000001</v>
      </c>
      <c r="P313" s="3">
        <v>86.987400000000008</v>
      </c>
      <c r="Q313">
        <v>3</v>
      </c>
    </row>
    <row r="314" spans="1:17" x14ac:dyDescent="0.25">
      <c r="A314" t="s">
        <v>701</v>
      </c>
      <c r="B314" t="s">
        <v>705</v>
      </c>
      <c r="C314" t="s">
        <v>1</v>
      </c>
      <c r="D314" t="s">
        <v>0</v>
      </c>
      <c r="E314">
        <v>559723</v>
      </c>
      <c r="F314" t="s">
        <v>440</v>
      </c>
      <c r="G314" t="s">
        <v>441</v>
      </c>
      <c r="H314" s="3">
        <v>7.54</v>
      </c>
      <c r="I314" s="3">
        <v>0</v>
      </c>
      <c r="J314" s="3">
        <v>0</v>
      </c>
      <c r="K314" s="3">
        <v>73.86</v>
      </c>
      <c r="L314" s="3">
        <v>0</v>
      </c>
      <c r="M314" s="3">
        <v>0</v>
      </c>
      <c r="N314" s="3">
        <v>0</v>
      </c>
      <c r="O314" s="3">
        <v>9.6018000000000008</v>
      </c>
      <c r="P314" s="3">
        <v>91.001800000000003</v>
      </c>
      <c r="Q314">
        <v>3</v>
      </c>
    </row>
    <row r="315" spans="1:17" x14ac:dyDescent="0.25">
      <c r="A315" t="s">
        <v>701</v>
      </c>
      <c r="B315" t="s">
        <v>705</v>
      </c>
      <c r="C315" t="s">
        <v>1</v>
      </c>
      <c r="D315" t="s">
        <v>0</v>
      </c>
      <c r="E315">
        <v>169849</v>
      </c>
      <c r="F315" t="s">
        <v>425</v>
      </c>
      <c r="G315" t="s">
        <v>426</v>
      </c>
      <c r="H315" s="3">
        <v>4.9499999999999993</v>
      </c>
      <c r="I315" s="3">
        <v>0</v>
      </c>
      <c r="J315" s="3">
        <v>0</v>
      </c>
      <c r="K315" s="3">
        <v>48.72</v>
      </c>
      <c r="L315" s="3">
        <v>0</v>
      </c>
      <c r="M315" s="3">
        <v>0</v>
      </c>
      <c r="N315" s="3">
        <v>0</v>
      </c>
      <c r="O315" s="3">
        <v>6.3335999999999997</v>
      </c>
      <c r="P315" s="3">
        <v>60.003599999999999</v>
      </c>
      <c r="Q315">
        <v>3</v>
      </c>
    </row>
    <row r="316" spans="1:17" x14ac:dyDescent="0.25">
      <c r="A316" t="s">
        <v>701</v>
      </c>
      <c r="B316" t="s">
        <v>705</v>
      </c>
      <c r="C316" t="s">
        <v>1</v>
      </c>
      <c r="D316" t="s">
        <v>0</v>
      </c>
      <c r="E316">
        <v>56290</v>
      </c>
      <c r="F316" t="s">
        <v>418</v>
      </c>
      <c r="G316" t="s">
        <v>419</v>
      </c>
      <c r="H316" s="3">
        <v>13.559999999999999</v>
      </c>
      <c r="I316" s="3">
        <v>0</v>
      </c>
      <c r="J316" s="3">
        <v>0</v>
      </c>
      <c r="K316" s="3">
        <v>133.61000000000001</v>
      </c>
      <c r="L316" s="3">
        <v>0</v>
      </c>
      <c r="M316" s="3">
        <v>0</v>
      </c>
      <c r="N316" s="3">
        <v>0</v>
      </c>
      <c r="O316" s="3">
        <v>17.369300000000003</v>
      </c>
      <c r="P316" s="3">
        <v>164.53930000000003</v>
      </c>
      <c r="Q316">
        <v>3</v>
      </c>
    </row>
    <row r="317" spans="1:17" x14ac:dyDescent="0.25">
      <c r="A317" t="s">
        <v>701</v>
      </c>
      <c r="B317" t="s">
        <v>706</v>
      </c>
      <c r="C317" t="s">
        <v>1</v>
      </c>
      <c r="D317" t="s">
        <v>0</v>
      </c>
      <c r="E317">
        <v>755</v>
      </c>
      <c r="F317" t="s">
        <v>475</v>
      </c>
      <c r="G317" t="s">
        <v>476</v>
      </c>
      <c r="H317" s="3">
        <v>0</v>
      </c>
      <c r="I317" s="3">
        <v>0</v>
      </c>
      <c r="J317" s="3">
        <v>0</v>
      </c>
      <c r="K317" s="3">
        <v>39.869999999999997</v>
      </c>
      <c r="L317" s="3">
        <v>0</v>
      </c>
      <c r="M317" s="3">
        <v>0</v>
      </c>
      <c r="N317" s="3">
        <v>0</v>
      </c>
      <c r="O317" s="3">
        <v>5.1830999999999996</v>
      </c>
      <c r="P317" s="3">
        <v>45.053100000000001</v>
      </c>
      <c r="Q317">
        <v>3</v>
      </c>
    </row>
    <row r="318" spans="1:17" x14ac:dyDescent="0.25">
      <c r="A318" t="s">
        <v>701</v>
      </c>
      <c r="B318" t="s">
        <v>706</v>
      </c>
      <c r="C318" t="s">
        <v>1</v>
      </c>
      <c r="D318" t="s">
        <v>0</v>
      </c>
      <c r="E318">
        <v>170028</v>
      </c>
      <c r="F318" t="s">
        <v>425</v>
      </c>
      <c r="G318" t="s">
        <v>426</v>
      </c>
      <c r="H318" s="3">
        <v>2.73</v>
      </c>
      <c r="I318" s="3">
        <v>0</v>
      </c>
      <c r="J318" s="3">
        <v>0</v>
      </c>
      <c r="K318" s="3">
        <v>26.79</v>
      </c>
      <c r="L318" s="3">
        <v>0</v>
      </c>
      <c r="M318" s="3">
        <v>0</v>
      </c>
      <c r="N318" s="3">
        <v>0</v>
      </c>
      <c r="O318" s="3">
        <v>3.4826999999999999</v>
      </c>
      <c r="P318" s="3">
        <v>33.002699999999997</v>
      </c>
      <c r="Q318">
        <v>3</v>
      </c>
    </row>
    <row r="319" spans="1:17" x14ac:dyDescent="0.25">
      <c r="A319" t="s">
        <v>701</v>
      </c>
      <c r="B319" t="s">
        <v>706</v>
      </c>
      <c r="C319" t="s">
        <v>1</v>
      </c>
      <c r="D319" t="s">
        <v>0</v>
      </c>
      <c r="E319">
        <v>56549</v>
      </c>
      <c r="F319" t="s">
        <v>418</v>
      </c>
      <c r="G319" t="s">
        <v>419</v>
      </c>
      <c r="H319" s="3">
        <v>8.39</v>
      </c>
      <c r="I319" s="3">
        <v>0</v>
      </c>
      <c r="J319" s="3">
        <v>0</v>
      </c>
      <c r="K319" s="3">
        <v>82.67</v>
      </c>
      <c r="L319" s="3">
        <v>0</v>
      </c>
      <c r="M319" s="3">
        <v>0</v>
      </c>
      <c r="N319" s="3">
        <v>0</v>
      </c>
      <c r="O319" s="3">
        <v>10.747100000000001</v>
      </c>
      <c r="P319" s="3">
        <v>101.80710000000001</v>
      </c>
      <c r="Q319">
        <v>3</v>
      </c>
    </row>
    <row r="320" spans="1:17" x14ac:dyDescent="0.25">
      <c r="A320" t="s">
        <v>701</v>
      </c>
      <c r="B320" t="s">
        <v>707</v>
      </c>
      <c r="C320" t="s">
        <v>1</v>
      </c>
      <c r="D320" t="s">
        <v>0</v>
      </c>
      <c r="E320">
        <v>108782</v>
      </c>
      <c r="F320" t="s">
        <v>459</v>
      </c>
      <c r="G320" t="s">
        <v>460</v>
      </c>
      <c r="H320" s="3">
        <v>2.9</v>
      </c>
      <c r="I320" s="3">
        <v>0</v>
      </c>
      <c r="J320" s="3">
        <v>0</v>
      </c>
      <c r="K320" s="3">
        <v>28.41</v>
      </c>
      <c r="L320" s="3">
        <v>0</v>
      </c>
      <c r="M320" s="3">
        <v>0</v>
      </c>
      <c r="N320" s="3">
        <v>0</v>
      </c>
      <c r="O320" s="3">
        <v>3.6933000000000002</v>
      </c>
      <c r="P320" s="3">
        <v>35.003299999999996</v>
      </c>
      <c r="Q320">
        <v>3</v>
      </c>
    </row>
    <row r="321" spans="1:17" x14ac:dyDescent="0.25">
      <c r="A321" t="s">
        <v>701</v>
      </c>
      <c r="B321" t="s">
        <v>707</v>
      </c>
      <c r="C321" t="s">
        <v>1</v>
      </c>
      <c r="D321" t="s">
        <v>0</v>
      </c>
      <c r="E321">
        <v>56744</v>
      </c>
      <c r="F321" t="s">
        <v>418</v>
      </c>
      <c r="G321" t="s">
        <v>419</v>
      </c>
      <c r="H321" s="3">
        <v>10.45</v>
      </c>
      <c r="I321" s="3">
        <v>0</v>
      </c>
      <c r="J321" s="3">
        <v>0</v>
      </c>
      <c r="K321" s="3">
        <v>103</v>
      </c>
      <c r="L321" s="3">
        <v>0</v>
      </c>
      <c r="M321" s="3">
        <v>0</v>
      </c>
      <c r="N321" s="3">
        <v>0</v>
      </c>
      <c r="O321" s="3">
        <v>13.39</v>
      </c>
      <c r="P321" s="3">
        <v>126.84</v>
      </c>
      <c r="Q321">
        <v>3</v>
      </c>
    </row>
    <row r="322" spans="1:17" x14ac:dyDescent="0.25">
      <c r="A322" t="s">
        <v>701</v>
      </c>
      <c r="B322" t="s">
        <v>708</v>
      </c>
      <c r="C322" t="s">
        <v>1</v>
      </c>
      <c r="D322" t="s">
        <v>0</v>
      </c>
      <c r="E322">
        <v>756</v>
      </c>
      <c r="F322" t="s">
        <v>475</v>
      </c>
      <c r="G322" t="s">
        <v>476</v>
      </c>
      <c r="H322" s="3">
        <v>0</v>
      </c>
      <c r="I322" s="3">
        <v>0</v>
      </c>
      <c r="J322" s="3">
        <v>0</v>
      </c>
      <c r="K322" s="3">
        <v>28.08</v>
      </c>
      <c r="L322" s="3">
        <v>0</v>
      </c>
      <c r="M322" s="3">
        <v>0</v>
      </c>
      <c r="N322" s="3">
        <v>0</v>
      </c>
      <c r="O322" s="3">
        <v>3.6503999999999999</v>
      </c>
      <c r="P322" s="3">
        <v>31.730399999999999</v>
      </c>
      <c r="Q322">
        <v>3</v>
      </c>
    </row>
    <row r="323" spans="1:17" x14ac:dyDescent="0.25">
      <c r="A323" t="s">
        <v>701</v>
      </c>
      <c r="B323" t="s">
        <v>708</v>
      </c>
      <c r="C323" t="s">
        <v>1</v>
      </c>
      <c r="D323" t="s">
        <v>0</v>
      </c>
      <c r="E323">
        <v>766</v>
      </c>
      <c r="F323" t="s">
        <v>475</v>
      </c>
      <c r="G323" t="s">
        <v>476</v>
      </c>
      <c r="H323" s="3">
        <v>0</v>
      </c>
      <c r="I323" s="3">
        <v>0</v>
      </c>
      <c r="J323" s="3">
        <v>0</v>
      </c>
      <c r="K323" s="3">
        <v>56.26</v>
      </c>
      <c r="L323" s="3">
        <v>0</v>
      </c>
      <c r="M323" s="3">
        <v>0</v>
      </c>
      <c r="N323" s="3">
        <v>0</v>
      </c>
      <c r="O323" s="3">
        <v>7.3137999999999996</v>
      </c>
      <c r="P323" s="3">
        <v>63.573799999999999</v>
      </c>
      <c r="Q323">
        <v>3</v>
      </c>
    </row>
    <row r="324" spans="1:17" x14ac:dyDescent="0.25">
      <c r="A324" t="s">
        <v>701</v>
      </c>
      <c r="B324" t="s">
        <v>708</v>
      </c>
      <c r="C324" t="s">
        <v>1</v>
      </c>
      <c r="D324" t="s">
        <v>0</v>
      </c>
      <c r="E324">
        <v>764</v>
      </c>
      <c r="F324" t="s">
        <v>475</v>
      </c>
      <c r="G324" t="s">
        <v>476</v>
      </c>
      <c r="H324" s="3">
        <v>0</v>
      </c>
      <c r="I324" s="3">
        <v>0</v>
      </c>
      <c r="J324" s="3">
        <v>0</v>
      </c>
      <c r="K324" s="3">
        <v>56.26</v>
      </c>
      <c r="L324" s="3">
        <v>0</v>
      </c>
      <c r="M324" s="3">
        <v>0</v>
      </c>
      <c r="N324" s="3">
        <v>0</v>
      </c>
      <c r="O324" s="3">
        <v>7.3137999999999996</v>
      </c>
      <c r="P324" s="3">
        <v>63.573799999999999</v>
      </c>
      <c r="Q324">
        <v>3</v>
      </c>
    </row>
    <row r="325" spans="1:17" x14ac:dyDescent="0.25">
      <c r="A325" t="s">
        <v>701</v>
      </c>
      <c r="B325" t="s">
        <v>708</v>
      </c>
      <c r="C325" t="s">
        <v>1</v>
      </c>
      <c r="D325" t="s">
        <v>0</v>
      </c>
      <c r="E325">
        <v>6043372</v>
      </c>
      <c r="F325" t="s">
        <v>471</v>
      </c>
      <c r="G325" t="s">
        <v>472</v>
      </c>
      <c r="H325" s="3">
        <v>0</v>
      </c>
      <c r="I325" s="3">
        <v>0</v>
      </c>
      <c r="J325" s="3">
        <v>0</v>
      </c>
      <c r="K325" s="3">
        <v>31.4</v>
      </c>
      <c r="L325" s="3">
        <v>0</v>
      </c>
      <c r="M325" s="3">
        <v>0</v>
      </c>
      <c r="N325" s="3">
        <v>0</v>
      </c>
      <c r="O325" s="3">
        <v>4.0819999999999999</v>
      </c>
      <c r="P325" s="3">
        <v>35.481999999999999</v>
      </c>
      <c r="Q325">
        <v>3</v>
      </c>
    </row>
    <row r="326" spans="1:17" x14ac:dyDescent="0.25">
      <c r="A326" t="s">
        <v>701</v>
      </c>
      <c r="B326" t="s">
        <v>708</v>
      </c>
      <c r="C326" t="s">
        <v>1</v>
      </c>
      <c r="D326" t="s">
        <v>0</v>
      </c>
      <c r="E326">
        <v>170257</v>
      </c>
      <c r="F326" t="s">
        <v>425</v>
      </c>
      <c r="G326" t="s">
        <v>426</v>
      </c>
      <c r="H326" s="3">
        <v>3.71</v>
      </c>
      <c r="I326" s="3">
        <v>0</v>
      </c>
      <c r="J326" s="3">
        <v>0</v>
      </c>
      <c r="K326" s="3">
        <v>36.54</v>
      </c>
      <c r="L326" s="3">
        <v>0</v>
      </c>
      <c r="M326" s="3">
        <v>0</v>
      </c>
      <c r="N326" s="3">
        <v>0</v>
      </c>
      <c r="O326" s="3">
        <v>4.7502000000000004</v>
      </c>
      <c r="P326" s="3">
        <v>45.0002</v>
      </c>
      <c r="Q326">
        <v>3</v>
      </c>
    </row>
    <row r="327" spans="1:17" x14ac:dyDescent="0.25">
      <c r="A327" t="s">
        <v>701</v>
      </c>
      <c r="B327" t="s">
        <v>708</v>
      </c>
      <c r="C327" t="s">
        <v>1</v>
      </c>
      <c r="D327" t="s">
        <v>0</v>
      </c>
      <c r="E327">
        <v>56894</v>
      </c>
      <c r="F327" t="s">
        <v>418</v>
      </c>
      <c r="G327" t="s">
        <v>419</v>
      </c>
      <c r="H327" s="3">
        <v>1.98</v>
      </c>
      <c r="I327" s="3">
        <v>0</v>
      </c>
      <c r="J327" s="3">
        <v>0</v>
      </c>
      <c r="K327" s="3">
        <v>19.489999999999998</v>
      </c>
      <c r="L327" s="3">
        <v>0</v>
      </c>
      <c r="M327" s="3">
        <v>0</v>
      </c>
      <c r="N327" s="3">
        <v>0</v>
      </c>
      <c r="O327" s="3">
        <v>2.5337000000000001</v>
      </c>
      <c r="P327" s="3">
        <v>24.003699999999998</v>
      </c>
      <c r="Q327">
        <v>3</v>
      </c>
    </row>
    <row r="328" spans="1:17" x14ac:dyDescent="0.25">
      <c r="A328" t="s">
        <v>701</v>
      </c>
      <c r="B328" t="s">
        <v>709</v>
      </c>
      <c r="C328" t="s">
        <v>1</v>
      </c>
      <c r="D328" t="s">
        <v>0</v>
      </c>
      <c r="E328">
        <v>776</v>
      </c>
      <c r="F328" t="s">
        <v>475</v>
      </c>
      <c r="G328" t="s">
        <v>476</v>
      </c>
      <c r="H328" s="3">
        <v>0</v>
      </c>
      <c r="I328" s="3">
        <v>0</v>
      </c>
      <c r="J328" s="3">
        <v>0</v>
      </c>
      <c r="K328" s="3">
        <v>50.82</v>
      </c>
      <c r="L328" s="3">
        <v>0</v>
      </c>
      <c r="M328" s="3">
        <v>0</v>
      </c>
      <c r="N328" s="3">
        <v>0</v>
      </c>
      <c r="O328" s="3">
        <v>6.6066000000000003</v>
      </c>
      <c r="P328" s="3">
        <v>57.426600000000001</v>
      </c>
      <c r="Q328">
        <v>3</v>
      </c>
    </row>
    <row r="329" spans="1:17" x14ac:dyDescent="0.25">
      <c r="A329" t="s">
        <v>701</v>
      </c>
      <c r="B329" t="s">
        <v>709</v>
      </c>
      <c r="C329" t="s">
        <v>1</v>
      </c>
      <c r="D329" t="s">
        <v>0</v>
      </c>
      <c r="E329">
        <v>775</v>
      </c>
      <c r="F329" t="s">
        <v>475</v>
      </c>
      <c r="G329" t="s">
        <v>476</v>
      </c>
      <c r="H329" s="3">
        <v>0</v>
      </c>
      <c r="I329" s="3">
        <v>0</v>
      </c>
      <c r="J329" s="3">
        <v>0</v>
      </c>
      <c r="K329" s="3">
        <v>35.659999999999997</v>
      </c>
      <c r="L329" s="3">
        <v>0</v>
      </c>
      <c r="M329" s="3">
        <v>0</v>
      </c>
      <c r="N329" s="3">
        <v>0</v>
      </c>
      <c r="O329" s="3">
        <v>4.6357999999999997</v>
      </c>
      <c r="P329" s="3">
        <v>40.2958</v>
      </c>
      <c r="Q329">
        <v>3</v>
      </c>
    </row>
    <row r="330" spans="1:17" x14ac:dyDescent="0.25">
      <c r="A330" t="s">
        <v>701</v>
      </c>
      <c r="B330" t="s">
        <v>709</v>
      </c>
      <c r="C330" t="s">
        <v>1</v>
      </c>
      <c r="D330" t="s">
        <v>0</v>
      </c>
      <c r="E330">
        <v>1155</v>
      </c>
      <c r="F330" t="s">
        <v>732</v>
      </c>
      <c r="G330" t="s">
        <v>733</v>
      </c>
      <c r="H330" s="3">
        <v>0</v>
      </c>
      <c r="I330" s="3">
        <v>0</v>
      </c>
      <c r="J330" s="3">
        <v>0</v>
      </c>
      <c r="K330" s="3">
        <v>18.940000000000001</v>
      </c>
      <c r="L330" s="3">
        <v>0</v>
      </c>
      <c r="M330" s="3">
        <v>0</v>
      </c>
      <c r="N330" s="3">
        <v>0</v>
      </c>
      <c r="O330" s="3">
        <v>2.4622000000000002</v>
      </c>
      <c r="P330" s="3">
        <v>21.402200000000001</v>
      </c>
      <c r="Q330">
        <v>3</v>
      </c>
    </row>
    <row r="331" spans="1:17" x14ac:dyDescent="0.25">
      <c r="A331" t="s">
        <v>701</v>
      </c>
      <c r="B331" t="s">
        <v>709</v>
      </c>
      <c r="C331" t="s">
        <v>1</v>
      </c>
      <c r="D331" t="s">
        <v>0</v>
      </c>
      <c r="E331">
        <v>210579</v>
      </c>
      <c r="F331" t="s">
        <v>440</v>
      </c>
      <c r="G331" t="s">
        <v>441</v>
      </c>
      <c r="H331" s="3">
        <v>18.190000000000001</v>
      </c>
      <c r="I331" s="3">
        <v>0</v>
      </c>
      <c r="J331" s="3">
        <v>0</v>
      </c>
      <c r="K331" s="3">
        <v>178.15</v>
      </c>
      <c r="L331" s="3">
        <v>0</v>
      </c>
      <c r="M331" s="3">
        <v>0</v>
      </c>
      <c r="N331" s="3">
        <v>0</v>
      </c>
      <c r="O331" s="3">
        <v>23.159500000000001</v>
      </c>
      <c r="P331" s="3">
        <v>219.49950000000001</v>
      </c>
      <c r="Q331">
        <v>3</v>
      </c>
    </row>
    <row r="332" spans="1:17" x14ac:dyDescent="0.25">
      <c r="A332" t="s">
        <v>701</v>
      </c>
      <c r="B332" t="s">
        <v>709</v>
      </c>
      <c r="C332" t="s">
        <v>1</v>
      </c>
      <c r="D332" t="s">
        <v>0</v>
      </c>
      <c r="E332">
        <v>170292</v>
      </c>
      <c r="F332" t="s">
        <v>425</v>
      </c>
      <c r="G332" t="s">
        <v>426</v>
      </c>
      <c r="H332" s="3">
        <v>3.3</v>
      </c>
      <c r="I332" s="3">
        <v>0</v>
      </c>
      <c r="J332" s="3">
        <v>0</v>
      </c>
      <c r="K332" s="3">
        <v>32.479999999999997</v>
      </c>
      <c r="L332" s="3">
        <v>0</v>
      </c>
      <c r="M332" s="3">
        <v>0</v>
      </c>
      <c r="N332" s="3">
        <v>0</v>
      </c>
      <c r="O332" s="3">
        <v>4.2223999999999995</v>
      </c>
      <c r="P332" s="3">
        <v>40.002399999999994</v>
      </c>
      <c r="Q332">
        <v>3</v>
      </c>
    </row>
    <row r="333" spans="1:17" x14ac:dyDescent="0.25">
      <c r="A333" t="s">
        <v>701</v>
      </c>
      <c r="B333" t="s">
        <v>709</v>
      </c>
      <c r="C333" t="s">
        <v>1</v>
      </c>
      <c r="D333" t="s">
        <v>0</v>
      </c>
      <c r="E333">
        <v>57370</v>
      </c>
      <c r="F333" t="s">
        <v>418</v>
      </c>
      <c r="G333" t="s">
        <v>419</v>
      </c>
      <c r="H333" s="3">
        <v>11.600000000000001</v>
      </c>
      <c r="I333" s="3">
        <v>0</v>
      </c>
      <c r="J333" s="3">
        <v>0</v>
      </c>
      <c r="K333" s="3">
        <v>114.28</v>
      </c>
      <c r="L333" s="3">
        <v>0</v>
      </c>
      <c r="M333" s="3">
        <v>0</v>
      </c>
      <c r="N333" s="3">
        <v>0</v>
      </c>
      <c r="O333" s="3">
        <v>14.856400000000001</v>
      </c>
      <c r="P333" s="3">
        <v>140.7364</v>
      </c>
      <c r="Q333">
        <v>3</v>
      </c>
    </row>
    <row r="334" spans="1:17" x14ac:dyDescent="0.25">
      <c r="A334" t="s">
        <v>701</v>
      </c>
      <c r="B334" t="s">
        <v>710</v>
      </c>
      <c r="C334" t="s">
        <v>1</v>
      </c>
      <c r="D334" t="s">
        <v>0</v>
      </c>
      <c r="E334">
        <v>783</v>
      </c>
      <c r="F334" t="s">
        <v>475</v>
      </c>
      <c r="G334" t="s">
        <v>476</v>
      </c>
      <c r="H334" s="3">
        <v>0</v>
      </c>
      <c r="I334" s="3">
        <v>0</v>
      </c>
      <c r="J334" s="3">
        <v>0</v>
      </c>
      <c r="K334" s="3">
        <v>72.44</v>
      </c>
      <c r="L334" s="3">
        <v>0</v>
      </c>
      <c r="M334" s="3">
        <v>0</v>
      </c>
      <c r="N334" s="3">
        <v>0</v>
      </c>
      <c r="O334" s="3">
        <v>9.4171999999999993</v>
      </c>
      <c r="P334" s="3">
        <v>81.857199999999992</v>
      </c>
      <c r="Q334">
        <v>3</v>
      </c>
    </row>
    <row r="335" spans="1:17" x14ac:dyDescent="0.25">
      <c r="A335" t="s">
        <v>701</v>
      </c>
      <c r="B335" t="s">
        <v>710</v>
      </c>
      <c r="C335" t="s">
        <v>1</v>
      </c>
      <c r="D335" t="s">
        <v>0</v>
      </c>
      <c r="E335">
        <v>14885</v>
      </c>
      <c r="F335" t="s">
        <v>455</v>
      </c>
      <c r="G335" t="s">
        <v>456</v>
      </c>
      <c r="H335" s="3">
        <v>7.92</v>
      </c>
      <c r="I335" s="3">
        <v>0</v>
      </c>
      <c r="J335" s="3">
        <v>0</v>
      </c>
      <c r="K335" s="3">
        <v>77.06</v>
      </c>
      <c r="L335" s="3">
        <v>0</v>
      </c>
      <c r="M335" s="3">
        <v>0</v>
      </c>
      <c r="N335" s="3">
        <v>0</v>
      </c>
      <c r="O335" s="3">
        <v>10.017800000000001</v>
      </c>
      <c r="P335" s="3">
        <v>94.997800000000012</v>
      </c>
      <c r="Q335">
        <v>3</v>
      </c>
    </row>
    <row r="336" spans="1:17" x14ac:dyDescent="0.25">
      <c r="A336" t="s">
        <v>701</v>
      </c>
      <c r="B336" t="s">
        <v>710</v>
      </c>
      <c r="C336" t="s">
        <v>1</v>
      </c>
      <c r="D336" t="s">
        <v>0</v>
      </c>
      <c r="E336">
        <v>57460</v>
      </c>
      <c r="F336" t="s">
        <v>418</v>
      </c>
      <c r="G336" t="s">
        <v>419</v>
      </c>
      <c r="H336" s="3">
        <v>12.120000000000001</v>
      </c>
      <c r="I336" s="3">
        <v>0</v>
      </c>
      <c r="J336" s="3">
        <v>0</v>
      </c>
      <c r="K336" s="3">
        <v>119.43</v>
      </c>
      <c r="L336" s="3">
        <v>0</v>
      </c>
      <c r="M336" s="3">
        <v>0</v>
      </c>
      <c r="N336" s="3">
        <v>0</v>
      </c>
      <c r="O336" s="3">
        <v>15.525900000000002</v>
      </c>
      <c r="P336" s="3">
        <v>147.07590000000002</v>
      </c>
      <c r="Q336">
        <v>3</v>
      </c>
    </row>
    <row r="337" spans="1:17" x14ac:dyDescent="0.25">
      <c r="A337" t="s">
        <v>701</v>
      </c>
      <c r="B337" t="s">
        <v>711</v>
      </c>
      <c r="C337" t="s">
        <v>1</v>
      </c>
      <c r="D337" t="s">
        <v>0</v>
      </c>
      <c r="E337">
        <v>789</v>
      </c>
      <c r="F337" t="s">
        <v>475</v>
      </c>
      <c r="G337" t="s">
        <v>476</v>
      </c>
      <c r="H337" s="3">
        <v>0</v>
      </c>
      <c r="I337" s="3">
        <v>0</v>
      </c>
      <c r="J337" s="3">
        <v>0</v>
      </c>
      <c r="K337" s="3">
        <v>56.26</v>
      </c>
      <c r="L337" s="3">
        <v>0</v>
      </c>
      <c r="M337" s="3">
        <v>0</v>
      </c>
      <c r="N337" s="3">
        <v>0</v>
      </c>
      <c r="O337" s="3">
        <v>7.3137999999999996</v>
      </c>
      <c r="P337" s="3">
        <v>63.573799999999999</v>
      </c>
      <c r="Q337">
        <v>3</v>
      </c>
    </row>
    <row r="338" spans="1:17" x14ac:dyDescent="0.25">
      <c r="A338" t="s">
        <v>701</v>
      </c>
      <c r="B338" t="s">
        <v>711</v>
      </c>
      <c r="C338" t="s">
        <v>1</v>
      </c>
      <c r="D338" t="s">
        <v>0</v>
      </c>
      <c r="E338">
        <v>790</v>
      </c>
      <c r="F338" t="s">
        <v>475</v>
      </c>
      <c r="G338" t="s">
        <v>476</v>
      </c>
      <c r="H338" s="3">
        <v>0</v>
      </c>
      <c r="I338" s="3">
        <v>0</v>
      </c>
      <c r="J338" s="3">
        <v>0</v>
      </c>
      <c r="K338" s="3">
        <v>28.08</v>
      </c>
      <c r="L338" s="3">
        <v>0</v>
      </c>
      <c r="M338" s="3">
        <v>0</v>
      </c>
      <c r="N338" s="3">
        <v>0</v>
      </c>
      <c r="O338" s="3">
        <v>3.6503999999999999</v>
      </c>
      <c r="P338" s="3">
        <v>31.730399999999999</v>
      </c>
      <c r="Q338">
        <v>3</v>
      </c>
    </row>
    <row r="339" spans="1:17" x14ac:dyDescent="0.25">
      <c r="A339" t="s">
        <v>701</v>
      </c>
      <c r="B339" t="s">
        <v>711</v>
      </c>
      <c r="C339" t="s">
        <v>1</v>
      </c>
      <c r="D339" t="s">
        <v>0</v>
      </c>
      <c r="E339">
        <v>791</v>
      </c>
      <c r="F339" t="s">
        <v>475</v>
      </c>
      <c r="G339" t="s">
        <v>476</v>
      </c>
      <c r="H339" s="3">
        <v>0</v>
      </c>
      <c r="I339" s="3">
        <v>0</v>
      </c>
      <c r="J339" s="3">
        <v>0</v>
      </c>
      <c r="K339" s="3">
        <v>77.5</v>
      </c>
      <c r="L339" s="3">
        <v>0</v>
      </c>
      <c r="M339" s="3">
        <v>0</v>
      </c>
      <c r="N339" s="3">
        <v>0</v>
      </c>
      <c r="O339" s="3">
        <v>10.075000000000001</v>
      </c>
      <c r="P339" s="3">
        <v>87.575000000000003</v>
      </c>
      <c r="Q339">
        <v>3</v>
      </c>
    </row>
    <row r="340" spans="1:17" x14ac:dyDescent="0.25">
      <c r="A340" t="s">
        <v>701</v>
      </c>
      <c r="B340" t="s">
        <v>711</v>
      </c>
      <c r="C340" t="s">
        <v>1</v>
      </c>
      <c r="D340" t="s">
        <v>0</v>
      </c>
      <c r="E340">
        <v>325</v>
      </c>
      <c r="F340" t="s">
        <v>484</v>
      </c>
      <c r="G340" t="s">
        <v>485</v>
      </c>
      <c r="H340" s="3">
        <v>0</v>
      </c>
      <c r="I340" s="3">
        <v>0</v>
      </c>
      <c r="J340" s="3">
        <v>0</v>
      </c>
      <c r="K340" s="3">
        <v>35</v>
      </c>
      <c r="L340" s="3">
        <v>0</v>
      </c>
      <c r="M340" s="3">
        <v>0</v>
      </c>
      <c r="N340" s="3">
        <v>0</v>
      </c>
      <c r="O340" s="3">
        <v>4.55</v>
      </c>
      <c r="P340" s="3">
        <v>39.549999999999997</v>
      </c>
      <c r="Q340">
        <v>3</v>
      </c>
    </row>
    <row r="341" spans="1:17" x14ac:dyDescent="0.25">
      <c r="A341" t="s">
        <v>701</v>
      </c>
      <c r="B341" t="s">
        <v>711</v>
      </c>
      <c r="C341" t="s">
        <v>1</v>
      </c>
      <c r="D341" t="s">
        <v>0</v>
      </c>
      <c r="E341">
        <v>165568</v>
      </c>
      <c r="F341" t="s">
        <v>459</v>
      </c>
      <c r="G341" t="s">
        <v>460</v>
      </c>
      <c r="H341" s="3">
        <v>2.27</v>
      </c>
      <c r="I341" s="3">
        <v>0</v>
      </c>
      <c r="J341" s="3">
        <v>0</v>
      </c>
      <c r="K341" s="3">
        <v>23.77</v>
      </c>
      <c r="L341" s="3">
        <v>0</v>
      </c>
      <c r="M341" s="3">
        <v>0</v>
      </c>
      <c r="N341" s="3">
        <v>0</v>
      </c>
      <c r="O341" s="3">
        <v>3.0901000000000001</v>
      </c>
      <c r="P341" s="3">
        <v>29.130099999999999</v>
      </c>
      <c r="Q341">
        <v>3</v>
      </c>
    </row>
    <row r="342" spans="1:17" x14ac:dyDescent="0.25">
      <c r="A342" t="s">
        <v>701</v>
      </c>
      <c r="B342" t="s">
        <v>711</v>
      </c>
      <c r="C342" t="s">
        <v>1</v>
      </c>
      <c r="D342" t="s">
        <v>0</v>
      </c>
      <c r="E342">
        <v>15476</v>
      </c>
      <c r="F342" t="s">
        <v>453</v>
      </c>
      <c r="G342" t="s">
        <v>454</v>
      </c>
      <c r="H342" s="3">
        <v>0</v>
      </c>
      <c r="I342" s="3">
        <v>0</v>
      </c>
      <c r="J342" s="3">
        <v>0</v>
      </c>
      <c r="K342" s="3">
        <v>11.7</v>
      </c>
      <c r="L342" s="3">
        <v>0</v>
      </c>
      <c r="M342" s="3">
        <v>0</v>
      </c>
      <c r="N342" s="3">
        <v>0</v>
      </c>
      <c r="O342" s="3">
        <v>1.5209999999999999</v>
      </c>
      <c r="P342" s="3">
        <v>13.221</v>
      </c>
      <c r="Q342">
        <v>3</v>
      </c>
    </row>
    <row r="343" spans="1:17" x14ac:dyDescent="0.25">
      <c r="A343" t="s">
        <v>701</v>
      </c>
      <c r="B343" t="s">
        <v>711</v>
      </c>
      <c r="C343" t="s">
        <v>1</v>
      </c>
      <c r="D343" t="s">
        <v>0</v>
      </c>
      <c r="E343">
        <v>15493</v>
      </c>
      <c r="F343" t="s">
        <v>453</v>
      </c>
      <c r="G343" t="s">
        <v>454</v>
      </c>
      <c r="H343" s="3">
        <v>0</v>
      </c>
      <c r="I343" s="3">
        <v>0</v>
      </c>
      <c r="J343" s="3">
        <v>0</v>
      </c>
      <c r="K343" s="3">
        <v>49.04</v>
      </c>
      <c r="L343" s="3">
        <v>0</v>
      </c>
      <c r="M343" s="3">
        <v>0</v>
      </c>
      <c r="N343" s="3">
        <v>0</v>
      </c>
      <c r="O343" s="3">
        <v>6.3752000000000004</v>
      </c>
      <c r="P343" s="3">
        <v>55.415199999999999</v>
      </c>
      <c r="Q343">
        <v>3</v>
      </c>
    </row>
    <row r="344" spans="1:17" x14ac:dyDescent="0.25">
      <c r="A344" t="s">
        <v>701</v>
      </c>
      <c r="B344" t="s">
        <v>711</v>
      </c>
      <c r="C344" t="s">
        <v>1</v>
      </c>
      <c r="D344" t="s">
        <v>0</v>
      </c>
      <c r="E344">
        <v>1319</v>
      </c>
      <c r="F344" t="s">
        <v>453</v>
      </c>
      <c r="G344" t="s">
        <v>454</v>
      </c>
      <c r="H344" s="3">
        <v>0</v>
      </c>
      <c r="I344" s="3">
        <v>0</v>
      </c>
      <c r="J344" s="3">
        <v>0</v>
      </c>
      <c r="K344" s="3">
        <v>40.5</v>
      </c>
      <c r="L344" s="3">
        <v>0</v>
      </c>
      <c r="M344" s="3">
        <v>0</v>
      </c>
      <c r="N344" s="3">
        <v>0</v>
      </c>
      <c r="O344" s="3">
        <v>5.2650000000000006</v>
      </c>
      <c r="P344" s="3">
        <v>45.765000000000001</v>
      </c>
      <c r="Q344">
        <v>3</v>
      </c>
    </row>
    <row r="345" spans="1:17" x14ac:dyDescent="0.25">
      <c r="A345" t="s">
        <v>701</v>
      </c>
      <c r="B345" t="s">
        <v>711</v>
      </c>
      <c r="C345" t="s">
        <v>1</v>
      </c>
      <c r="D345" t="s">
        <v>0</v>
      </c>
      <c r="E345">
        <v>1480846</v>
      </c>
      <c r="F345" t="s">
        <v>127</v>
      </c>
      <c r="G345" t="s">
        <v>128</v>
      </c>
      <c r="H345" s="3">
        <v>0</v>
      </c>
      <c r="I345" s="3">
        <v>0</v>
      </c>
      <c r="J345" s="3">
        <v>0</v>
      </c>
      <c r="K345" s="3">
        <v>2.04</v>
      </c>
      <c r="L345" s="3">
        <v>0</v>
      </c>
      <c r="M345" s="3">
        <v>0</v>
      </c>
      <c r="N345" s="3">
        <v>0</v>
      </c>
      <c r="O345" s="3">
        <v>0.26519999999999999</v>
      </c>
      <c r="P345" s="3">
        <v>2.3052000000000001</v>
      </c>
      <c r="Q345">
        <v>3</v>
      </c>
    </row>
    <row r="346" spans="1:17" x14ac:dyDescent="0.25">
      <c r="A346" t="s">
        <v>701</v>
      </c>
      <c r="B346" t="s">
        <v>711</v>
      </c>
      <c r="C346" t="s">
        <v>1</v>
      </c>
      <c r="D346" t="s">
        <v>0</v>
      </c>
      <c r="E346">
        <v>57899</v>
      </c>
      <c r="F346" t="s">
        <v>418</v>
      </c>
      <c r="G346" t="s">
        <v>419</v>
      </c>
      <c r="H346" s="3">
        <v>9.7200000000000006</v>
      </c>
      <c r="I346" s="3">
        <v>0</v>
      </c>
      <c r="J346" s="3">
        <v>0</v>
      </c>
      <c r="K346" s="3">
        <v>95.81</v>
      </c>
      <c r="L346" s="3">
        <v>0</v>
      </c>
      <c r="M346" s="3">
        <v>0</v>
      </c>
      <c r="N346" s="3">
        <v>0</v>
      </c>
      <c r="O346" s="3">
        <v>12.455300000000001</v>
      </c>
      <c r="P346" s="3">
        <v>117.9853</v>
      </c>
      <c r="Q346">
        <v>3</v>
      </c>
    </row>
    <row r="347" spans="1:17" x14ac:dyDescent="0.25">
      <c r="A347" t="s">
        <v>701</v>
      </c>
      <c r="B347" t="s">
        <v>712</v>
      </c>
      <c r="C347" t="s">
        <v>1</v>
      </c>
      <c r="D347" t="s">
        <v>0</v>
      </c>
      <c r="E347">
        <v>1603</v>
      </c>
      <c r="F347" t="s">
        <v>475</v>
      </c>
      <c r="G347" t="s">
        <v>476</v>
      </c>
      <c r="H347" s="3">
        <v>0</v>
      </c>
      <c r="I347" s="3">
        <v>0</v>
      </c>
      <c r="J347" s="3">
        <v>0</v>
      </c>
      <c r="K347" s="3">
        <v>56.26</v>
      </c>
      <c r="L347" s="3">
        <v>0</v>
      </c>
      <c r="M347" s="3">
        <v>0</v>
      </c>
      <c r="N347" s="3">
        <v>0</v>
      </c>
      <c r="O347" s="3">
        <v>7.3137999999999996</v>
      </c>
      <c r="P347" s="3">
        <v>63.573799999999999</v>
      </c>
      <c r="Q347">
        <v>3</v>
      </c>
    </row>
    <row r="348" spans="1:17" x14ac:dyDescent="0.25">
      <c r="A348" t="s">
        <v>701</v>
      </c>
      <c r="B348" t="s">
        <v>712</v>
      </c>
      <c r="C348" t="s">
        <v>1</v>
      </c>
      <c r="D348" t="s">
        <v>0</v>
      </c>
      <c r="E348">
        <v>798</v>
      </c>
      <c r="F348" t="s">
        <v>475</v>
      </c>
      <c r="G348" t="s">
        <v>476</v>
      </c>
      <c r="H348" s="3">
        <v>0</v>
      </c>
      <c r="I348" s="3">
        <v>0</v>
      </c>
      <c r="J348" s="3">
        <v>0</v>
      </c>
      <c r="K348" s="3">
        <v>30.88</v>
      </c>
      <c r="L348" s="3">
        <v>0</v>
      </c>
      <c r="M348" s="3">
        <v>0</v>
      </c>
      <c r="N348" s="3">
        <v>0</v>
      </c>
      <c r="O348" s="3">
        <v>4.0144000000000002</v>
      </c>
      <c r="P348" s="3">
        <v>34.894399999999997</v>
      </c>
      <c r="Q348">
        <v>3</v>
      </c>
    </row>
    <row r="349" spans="1:17" x14ac:dyDescent="0.25">
      <c r="A349" t="s">
        <v>701</v>
      </c>
      <c r="B349" t="s">
        <v>712</v>
      </c>
      <c r="C349" t="s">
        <v>1</v>
      </c>
      <c r="D349" t="s">
        <v>0</v>
      </c>
      <c r="E349">
        <v>799</v>
      </c>
      <c r="F349" t="s">
        <v>475</v>
      </c>
      <c r="G349" t="s">
        <v>476</v>
      </c>
      <c r="H349" s="3">
        <v>0</v>
      </c>
      <c r="I349" s="3">
        <v>0</v>
      </c>
      <c r="J349" s="3">
        <v>0</v>
      </c>
      <c r="K349" s="3">
        <v>34.81</v>
      </c>
      <c r="L349" s="3">
        <v>0</v>
      </c>
      <c r="M349" s="3">
        <v>0</v>
      </c>
      <c r="N349" s="3">
        <v>0</v>
      </c>
      <c r="O349" s="3">
        <v>4.5253000000000005</v>
      </c>
      <c r="P349" s="3">
        <v>39.335300000000004</v>
      </c>
      <c r="Q349">
        <v>3</v>
      </c>
    </row>
    <row r="350" spans="1:17" x14ac:dyDescent="0.25">
      <c r="A350" t="s">
        <v>701</v>
      </c>
      <c r="B350" t="s">
        <v>712</v>
      </c>
      <c r="C350" t="s">
        <v>1</v>
      </c>
      <c r="D350" t="s">
        <v>0</v>
      </c>
      <c r="E350">
        <v>198</v>
      </c>
      <c r="F350" t="s">
        <v>431</v>
      </c>
      <c r="G350" t="s">
        <v>432</v>
      </c>
      <c r="H350" s="3">
        <v>0</v>
      </c>
      <c r="I350" s="3">
        <v>0</v>
      </c>
      <c r="J350" s="3">
        <v>0</v>
      </c>
      <c r="K350" s="3">
        <v>24.55</v>
      </c>
      <c r="L350" s="3">
        <v>0</v>
      </c>
      <c r="M350" s="3">
        <v>0</v>
      </c>
      <c r="N350" s="3">
        <v>0</v>
      </c>
      <c r="O350" s="3">
        <v>3.1915</v>
      </c>
      <c r="P350" s="3">
        <v>27.741500000000002</v>
      </c>
      <c r="Q350">
        <v>3</v>
      </c>
    </row>
    <row r="351" spans="1:17" x14ac:dyDescent="0.25">
      <c r="A351" t="s">
        <v>701</v>
      </c>
      <c r="B351" t="s">
        <v>712</v>
      </c>
      <c r="C351" t="s">
        <v>1</v>
      </c>
      <c r="D351" t="s">
        <v>0</v>
      </c>
      <c r="E351">
        <v>16750</v>
      </c>
      <c r="F351" t="s">
        <v>550</v>
      </c>
      <c r="G351" t="s">
        <v>551</v>
      </c>
      <c r="H351" s="3">
        <v>0</v>
      </c>
      <c r="I351" s="3">
        <v>0</v>
      </c>
      <c r="J351" s="3">
        <v>0</v>
      </c>
      <c r="K351" s="3">
        <v>17.3</v>
      </c>
      <c r="L351" s="3">
        <v>0</v>
      </c>
      <c r="M351" s="3">
        <v>0</v>
      </c>
      <c r="N351" s="3">
        <v>0</v>
      </c>
      <c r="O351" s="3">
        <v>2.2490000000000001</v>
      </c>
      <c r="P351" s="3">
        <v>19.548999999999999</v>
      </c>
      <c r="Q351">
        <v>3</v>
      </c>
    </row>
    <row r="352" spans="1:17" x14ac:dyDescent="0.25">
      <c r="A352" t="s">
        <v>701</v>
      </c>
      <c r="B352" t="s">
        <v>712</v>
      </c>
      <c r="C352" t="s">
        <v>1</v>
      </c>
      <c r="D352" t="s">
        <v>0</v>
      </c>
      <c r="E352">
        <v>58536</v>
      </c>
      <c r="F352" t="s">
        <v>418</v>
      </c>
      <c r="G352" t="s">
        <v>419</v>
      </c>
      <c r="H352" s="3">
        <v>10.14</v>
      </c>
      <c r="I352" s="3">
        <v>0</v>
      </c>
      <c r="J352" s="3">
        <v>0</v>
      </c>
      <c r="K352" s="3">
        <v>99.91</v>
      </c>
      <c r="L352" s="3">
        <v>0</v>
      </c>
      <c r="M352" s="3">
        <v>0</v>
      </c>
      <c r="N352" s="3">
        <v>0</v>
      </c>
      <c r="O352" s="3">
        <v>12.988300000000001</v>
      </c>
      <c r="P352" s="3">
        <v>123.03829999999999</v>
      </c>
      <c r="Q352">
        <v>3</v>
      </c>
    </row>
    <row r="353" spans="1:17" x14ac:dyDescent="0.25">
      <c r="A353" t="s">
        <v>701</v>
      </c>
      <c r="B353" t="s">
        <v>712</v>
      </c>
      <c r="C353" t="s">
        <v>1</v>
      </c>
      <c r="D353" t="s">
        <v>0</v>
      </c>
      <c r="E353">
        <v>58059</v>
      </c>
      <c r="F353" t="s">
        <v>418</v>
      </c>
      <c r="G353" t="s">
        <v>419</v>
      </c>
      <c r="H353" s="3">
        <v>2.06</v>
      </c>
      <c r="I353" s="3">
        <v>0</v>
      </c>
      <c r="J353" s="3">
        <v>0</v>
      </c>
      <c r="K353" s="3">
        <v>20.3</v>
      </c>
      <c r="L353" s="3">
        <v>0</v>
      </c>
      <c r="M353" s="3">
        <v>0</v>
      </c>
      <c r="N353" s="3">
        <v>0</v>
      </c>
      <c r="O353" s="3">
        <v>2.6390000000000002</v>
      </c>
      <c r="P353" s="3">
        <v>24.998999999999999</v>
      </c>
      <c r="Q353">
        <v>3</v>
      </c>
    </row>
    <row r="354" spans="1:17" x14ac:dyDescent="0.25">
      <c r="A354" t="s">
        <v>701</v>
      </c>
      <c r="B354" t="s">
        <v>712</v>
      </c>
      <c r="C354" t="s">
        <v>1</v>
      </c>
      <c r="D354" t="s">
        <v>0</v>
      </c>
      <c r="E354">
        <v>58050</v>
      </c>
      <c r="F354" t="s">
        <v>418</v>
      </c>
      <c r="G354" t="s">
        <v>419</v>
      </c>
      <c r="H354" s="3">
        <v>5.4499999999999993</v>
      </c>
      <c r="I354" s="3">
        <v>0</v>
      </c>
      <c r="J354" s="3">
        <v>0</v>
      </c>
      <c r="K354" s="3">
        <v>83.23</v>
      </c>
      <c r="L354" s="3">
        <v>0</v>
      </c>
      <c r="M354" s="3">
        <v>0</v>
      </c>
      <c r="N354" s="3">
        <v>0</v>
      </c>
      <c r="O354" s="3">
        <v>10.819900000000001</v>
      </c>
      <c r="P354" s="3">
        <v>99.499900000000011</v>
      </c>
      <c r="Q354">
        <v>3</v>
      </c>
    </row>
    <row r="355" spans="1:17" x14ac:dyDescent="0.25">
      <c r="A355" t="s">
        <v>701</v>
      </c>
      <c r="B355" t="s">
        <v>727</v>
      </c>
      <c r="C355" t="s">
        <v>1</v>
      </c>
      <c r="D355" t="s">
        <v>0</v>
      </c>
      <c r="E355">
        <v>1609</v>
      </c>
      <c r="F355" t="s">
        <v>475</v>
      </c>
      <c r="G355" t="s">
        <v>476</v>
      </c>
      <c r="H355" s="3">
        <v>0</v>
      </c>
      <c r="I355" s="3">
        <v>0</v>
      </c>
      <c r="J355" s="3">
        <v>0</v>
      </c>
      <c r="K355" s="3">
        <v>28.08</v>
      </c>
      <c r="L355" s="3">
        <v>0</v>
      </c>
      <c r="M355" s="3">
        <v>0</v>
      </c>
      <c r="N355" s="3">
        <v>0</v>
      </c>
      <c r="O355" s="3">
        <v>3.6503999999999999</v>
      </c>
      <c r="P355" s="3">
        <v>31.730399999999999</v>
      </c>
      <c r="Q355">
        <v>3</v>
      </c>
    </row>
    <row r="356" spans="1:17" x14ac:dyDescent="0.25">
      <c r="A356" t="s">
        <v>701</v>
      </c>
      <c r="B356" t="s">
        <v>727</v>
      </c>
      <c r="C356" t="s">
        <v>1</v>
      </c>
      <c r="D356" t="s">
        <v>0</v>
      </c>
      <c r="E356">
        <v>1608</v>
      </c>
      <c r="F356" t="s">
        <v>475</v>
      </c>
      <c r="G356" t="s">
        <v>476</v>
      </c>
      <c r="H356" s="3">
        <v>0</v>
      </c>
      <c r="I356" s="3">
        <v>0</v>
      </c>
      <c r="J356" s="3">
        <v>0</v>
      </c>
      <c r="K356" s="3">
        <v>42.68</v>
      </c>
      <c r="L356" s="3">
        <v>0</v>
      </c>
      <c r="M356" s="3">
        <v>0</v>
      </c>
      <c r="N356" s="3">
        <v>0</v>
      </c>
      <c r="O356" s="3">
        <v>5.5484</v>
      </c>
      <c r="P356" s="3">
        <v>48.228400000000001</v>
      </c>
      <c r="Q356">
        <v>3</v>
      </c>
    </row>
    <row r="357" spans="1:17" x14ac:dyDescent="0.25">
      <c r="A357" t="s">
        <v>701</v>
      </c>
      <c r="B357" t="s">
        <v>727</v>
      </c>
      <c r="C357" t="s">
        <v>1</v>
      </c>
      <c r="D357" t="s">
        <v>0</v>
      </c>
      <c r="E357">
        <v>170907</v>
      </c>
      <c r="F357" t="s">
        <v>425</v>
      </c>
      <c r="G357" t="s">
        <v>426</v>
      </c>
      <c r="H357" s="3">
        <v>2.61</v>
      </c>
      <c r="I357" s="3">
        <v>0</v>
      </c>
      <c r="J357" s="3">
        <v>0</v>
      </c>
      <c r="K357" s="3">
        <v>25.71</v>
      </c>
      <c r="L357" s="3">
        <v>0</v>
      </c>
      <c r="M357" s="3">
        <v>0</v>
      </c>
      <c r="N357" s="3">
        <v>0</v>
      </c>
      <c r="O357" s="3">
        <v>3.3423000000000003</v>
      </c>
      <c r="P357" s="3">
        <v>31.662300000000002</v>
      </c>
      <c r="Q357">
        <v>3</v>
      </c>
    </row>
    <row r="358" spans="1:17" x14ac:dyDescent="0.25">
      <c r="A358" t="s">
        <v>701</v>
      </c>
      <c r="B358" t="s">
        <v>727</v>
      </c>
      <c r="C358" t="s">
        <v>1</v>
      </c>
      <c r="D358" t="s">
        <v>0</v>
      </c>
      <c r="E358">
        <v>170950</v>
      </c>
      <c r="F358" t="s">
        <v>425</v>
      </c>
      <c r="G358" t="s">
        <v>426</v>
      </c>
      <c r="H358" s="3">
        <v>5.03</v>
      </c>
      <c r="I358" s="3">
        <v>0</v>
      </c>
      <c r="J358" s="3">
        <v>0</v>
      </c>
      <c r="K358" s="3">
        <v>49.53</v>
      </c>
      <c r="L358" s="3">
        <v>0</v>
      </c>
      <c r="M358" s="3">
        <v>0</v>
      </c>
      <c r="N358" s="3">
        <v>0</v>
      </c>
      <c r="O358" s="3">
        <v>6.4389000000000003</v>
      </c>
      <c r="P358" s="3">
        <v>60.998900000000006</v>
      </c>
      <c r="Q358">
        <v>3</v>
      </c>
    </row>
    <row r="359" spans="1:17" x14ac:dyDescent="0.25">
      <c r="A359" t="s">
        <v>701</v>
      </c>
      <c r="B359" t="s">
        <v>713</v>
      </c>
      <c r="C359" t="s">
        <v>1</v>
      </c>
      <c r="D359" t="s">
        <v>0</v>
      </c>
      <c r="E359">
        <v>1617</v>
      </c>
      <c r="F359" t="s">
        <v>475</v>
      </c>
      <c r="G359" t="s">
        <v>476</v>
      </c>
      <c r="H359" s="3">
        <v>0</v>
      </c>
      <c r="I359" s="3">
        <v>0</v>
      </c>
      <c r="J359" s="3">
        <v>0</v>
      </c>
      <c r="K359" s="3">
        <v>56.26</v>
      </c>
      <c r="L359" s="3">
        <v>0</v>
      </c>
      <c r="M359" s="3">
        <v>0</v>
      </c>
      <c r="N359" s="3">
        <v>0</v>
      </c>
      <c r="O359" s="3">
        <v>7.3137999999999996</v>
      </c>
      <c r="P359" s="3">
        <v>63.573799999999999</v>
      </c>
      <c r="Q359">
        <v>3</v>
      </c>
    </row>
    <row r="360" spans="1:17" x14ac:dyDescent="0.25">
      <c r="A360" t="s">
        <v>701</v>
      </c>
      <c r="B360" t="s">
        <v>713</v>
      </c>
      <c r="C360" t="s">
        <v>1</v>
      </c>
      <c r="D360" t="s">
        <v>0</v>
      </c>
      <c r="E360">
        <v>1616</v>
      </c>
      <c r="F360" t="s">
        <v>475</v>
      </c>
      <c r="G360" t="s">
        <v>476</v>
      </c>
      <c r="H360" s="3">
        <v>0</v>
      </c>
      <c r="I360" s="3">
        <v>0</v>
      </c>
      <c r="J360" s="3">
        <v>0</v>
      </c>
      <c r="K360" s="3">
        <v>56.26</v>
      </c>
      <c r="L360" s="3">
        <v>0</v>
      </c>
      <c r="M360" s="3">
        <v>0</v>
      </c>
      <c r="N360" s="3">
        <v>0</v>
      </c>
      <c r="O360" s="3">
        <v>7.3137999999999996</v>
      </c>
      <c r="P360" s="3">
        <v>63.573799999999999</v>
      </c>
      <c r="Q360">
        <v>3</v>
      </c>
    </row>
    <row r="361" spans="1:17" x14ac:dyDescent="0.25">
      <c r="A361" t="s">
        <v>701</v>
      </c>
      <c r="B361" t="s">
        <v>713</v>
      </c>
      <c r="C361" t="s">
        <v>1</v>
      </c>
      <c r="D361" t="s">
        <v>0</v>
      </c>
      <c r="E361">
        <v>180098</v>
      </c>
      <c r="F361" t="s">
        <v>264</v>
      </c>
      <c r="G361" t="s">
        <v>549</v>
      </c>
      <c r="H361" s="3">
        <v>0</v>
      </c>
      <c r="I361" s="3">
        <v>0</v>
      </c>
      <c r="J361" s="3">
        <v>0</v>
      </c>
      <c r="K361" s="3">
        <v>7.89</v>
      </c>
      <c r="L361" s="3">
        <v>0</v>
      </c>
      <c r="M361" s="3">
        <v>0</v>
      </c>
      <c r="N361" s="3">
        <v>0</v>
      </c>
      <c r="O361" s="3">
        <v>1.0257000000000001</v>
      </c>
      <c r="P361" s="3">
        <v>8.9156999999999993</v>
      </c>
      <c r="Q361">
        <v>3</v>
      </c>
    </row>
    <row r="362" spans="1:17" x14ac:dyDescent="0.25">
      <c r="A362" t="s">
        <v>701</v>
      </c>
      <c r="B362" t="s">
        <v>713</v>
      </c>
      <c r="C362" t="s">
        <v>1</v>
      </c>
      <c r="D362" t="s">
        <v>0</v>
      </c>
      <c r="E362">
        <v>662583</v>
      </c>
      <c r="F362" t="s">
        <v>103</v>
      </c>
      <c r="G362" t="s">
        <v>104</v>
      </c>
      <c r="H362" s="3">
        <v>0</v>
      </c>
      <c r="I362" s="3">
        <v>0</v>
      </c>
      <c r="J362" s="3">
        <v>0</v>
      </c>
      <c r="K362" s="3">
        <v>47.37</v>
      </c>
      <c r="L362" s="3">
        <v>0</v>
      </c>
      <c r="M362" s="3">
        <v>0</v>
      </c>
      <c r="N362" s="3">
        <v>0</v>
      </c>
      <c r="O362" s="3">
        <v>6.1581000000000001</v>
      </c>
      <c r="P362" s="3">
        <v>53.528099999999995</v>
      </c>
      <c r="Q362">
        <v>3</v>
      </c>
    </row>
    <row r="363" spans="1:17" x14ac:dyDescent="0.25">
      <c r="A363" t="s">
        <v>701</v>
      </c>
      <c r="B363" t="s">
        <v>713</v>
      </c>
      <c r="C363" t="s">
        <v>1</v>
      </c>
      <c r="D363" t="s">
        <v>0</v>
      </c>
      <c r="E363">
        <v>6043447</v>
      </c>
      <c r="F363" t="s">
        <v>471</v>
      </c>
      <c r="G363" t="s">
        <v>472</v>
      </c>
      <c r="H363" s="3">
        <v>0</v>
      </c>
      <c r="I363" s="3">
        <v>0</v>
      </c>
      <c r="J363" s="3">
        <v>0</v>
      </c>
      <c r="K363" s="3">
        <v>165.8</v>
      </c>
      <c r="L363" s="3">
        <v>0</v>
      </c>
      <c r="M363" s="3">
        <v>0</v>
      </c>
      <c r="N363" s="3">
        <v>0</v>
      </c>
      <c r="O363" s="3">
        <v>21.554000000000002</v>
      </c>
      <c r="P363" s="3">
        <v>187.35400000000001</v>
      </c>
      <c r="Q363">
        <v>3</v>
      </c>
    </row>
    <row r="364" spans="1:17" x14ac:dyDescent="0.25">
      <c r="A364" t="s">
        <v>701</v>
      </c>
      <c r="B364" t="s">
        <v>713</v>
      </c>
      <c r="C364" t="s">
        <v>1</v>
      </c>
      <c r="D364" t="s">
        <v>0</v>
      </c>
      <c r="E364">
        <v>79323</v>
      </c>
      <c r="F364" t="s">
        <v>473</v>
      </c>
      <c r="G364" t="s">
        <v>474</v>
      </c>
      <c r="H364" s="3">
        <v>0</v>
      </c>
      <c r="I364" s="3">
        <v>0</v>
      </c>
      <c r="J364" s="3">
        <v>0</v>
      </c>
      <c r="K364" s="3">
        <v>11.34</v>
      </c>
      <c r="L364" s="3">
        <v>0</v>
      </c>
      <c r="M364" s="3">
        <v>0</v>
      </c>
      <c r="N364" s="3">
        <v>0</v>
      </c>
      <c r="O364" s="3">
        <v>1.4742</v>
      </c>
      <c r="P364" s="3">
        <v>12.8142</v>
      </c>
      <c r="Q364">
        <v>3</v>
      </c>
    </row>
    <row r="365" spans="1:17" x14ac:dyDescent="0.25">
      <c r="A365" t="s">
        <v>701</v>
      </c>
      <c r="B365" t="s">
        <v>713</v>
      </c>
      <c r="C365" t="s">
        <v>1</v>
      </c>
      <c r="D365" t="s">
        <v>0</v>
      </c>
      <c r="E365">
        <v>171183</v>
      </c>
      <c r="F365" t="s">
        <v>425</v>
      </c>
      <c r="G365" t="s">
        <v>426</v>
      </c>
      <c r="H365" s="3">
        <v>4.8600000000000003</v>
      </c>
      <c r="I365" s="3">
        <v>0</v>
      </c>
      <c r="J365" s="3">
        <v>0</v>
      </c>
      <c r="K365" s="3">
        <v>47.91</v>
      </c>
      <c r="L365" s="3">
        <v>0</v>
      </c>
      <c r="M365" s="3">
        <v>0</v>
      </c>
      <c r="N365" s="3">
        <v>0</v>
      </c>
      <c r="O365" s="3">
        <v>6.2282999999999999</v>
      </c>
      <c r="P365" s="3">
        <v>58.998299999999993</v>
      </c>
      <c r="Q365">
        <v>3</v>
      </c>
    </row>
    <row r="366" spans="1:17" x14ac:dyDescent="0.25">
      <c r="A366" t="s">
        <v>701</v>
      </c>
      <c r="B366" t="s">
        <v>713</v>
      </c>
      <c r="C366" t="s">
        <v>1</v>
      </c>
      <c r="D366" t="s">
        <v>0</v>
      </c>
      <c r="E366">
        <v>58663</v>
      </c>
      <c r="F366" t="s">
        <v>418</v>
      </c>
      <c r="G366" t="s">
        <v>419</v>
      </c>
      <c r="H366" s="3">
        <v>6.7200000000000006</v>
      </c>
      <c r="I366" s="3">
        <v>0</v>
      </c>
      <c r="J366" s="3">
        <v>0</v>
      </c>
      <c r="K366" s="3">
        <v>66.25</v>
      </c>
      <c r="L366" s="3">
        <v>0</v>
      </c>
      <c r="M366" s="3">
        <v>0</v>
      </c>
      <c r="N366" s="3">
        <v>0</v>
      </c>
      <c r="O366" s="3">
        <v>8.6125000000000007</v>
      </c>
      <c r="P366" s="3">
        <v>81.582499999999996</v>
      </c>
      <c r="Q366">
        <v>3</v>
      </c>
    </row>
    <row r="367" spans="1:17" x14ac:dyDescent="0.25">
      <c r="A367" t="s">
        <v>701</v>
      </c>
      <c r="B367" t="s">
        <v>714</v>
      </c>
      <c r="C367" t="s">
        <v>1</v>
      </c>
      <c r="D367" t="s">
        <v>0</v>
      </c>
      <c r="E367">
        <v>1627</v>
      </c>
      <c r="F367" t="s">
        <v>475</v>
      </c>
      <c r="G367" t="s">
        <v>476</v>
      </c>
      <c r="H367" s="3">
        <v>0</v>
      </c>
      <c r="I367" s="3">
        <v>0</v>
      </c>
      <c r="J367" s="3">
        <v>0</v>
      </c>
      <c r="K367" s="3">
        <v>62.05</v>
      </c>
      <c r="L367" s="3">
        <v>0</v>
      </c>
      <c r="M367" s="3">
        <v>0</v>
      </c>
      <c r="N367" s="3">
        <v>0</v>
      </c>
      <c r="O367" s="3">
        <v>8.0664999999999996</v>
      </c>
      <c r="P367" s="3">
        <v>70.116500000000002</v>
      </c>
      <c r="Q367">
        <v>3</v>
      </c>
    </row>
    <row r="368" spans="1:17" x14ac:dyDescent="0.25">
      <c r="A368" t="s">
        <v>701</v>
      </c>
      <c r="B368" t="s">
        <v>714</v>
      </c>
      <c r="C368" t="s">
        <v>1</v>
      </c>
      <c r="D368" t="s">
        <v>0</v>
      </c>
      <c r="E368">
        <v>1646</v>
      </c>
      <c r="F368" t="s">
        <v>475</v>
      </c>
      <c r="G368" t="s">
        <v>476</v>
      </c>
      <c r="H368" s="3">
        <v>0</v>
      </c>
      <c r="I368" s="3">
        <v>0</v>
      </c>
      <c r="J368" s="3">
        <v>0</v>
      </c>
      <c r="K368" s="3">
        <v>28.08</v>
      </c>
      <c r="L368" s="3">
        <v>0</v>
      </c>
      <c r="M368" s="3">
        <v>0</v>
      </c>
      <c r="N368" s="3">
        <v>0</v>
      </c>
      <c r="O368" s="3">
        <v>3.6503999999999999</v>
      </c>
      <c r="P368" s="3">
        <v>31.730399999999999</v>
      </c>
      <c r="Q368">
        <v>3</v>
      </c>
    </row>
    <row r="369" spans="1:17" x14ac:dyDescent="0.25">
      <c r="A369" t="s">
        <v>701</v>
      </c>
      <c r="B369" t="s">
        <v>714</v>
      </c>
      <c r="C369" t="s">
        <v>1</v>
      </c>
      <c r="D369" t="s">
        <v>0</v>
      </c>
      <c r="E369">
        <v>1626</v>
      </c>
      <c r="F369" t="s">
        <v>475</v>
      </c>
      <c r="G369" t="s">
        <v>476</v>
      </c>
      <c r="H369" s="3">
        <v>0</v>
      </c>
      <c r="I369" s="3">
        <v>0</v>
      </c>
      <c r="J369" s="3">
        <v>0</v>
      </c>
      <c r="K369" s="3">
        <v>28.08</v>
      </c>
      <c r="L369" s="3">
        <v>0</v>
      </c>
      <c r="M369" s="3">
        <v>0</v>
      </c>
      <c r="N369" s="3">
        <v>0</v>
      </c>
      <c r="O369" s="3">
        <v>3.6503999999999999</v>
      </c>
      <c r="P369" s="3">
        <v>31.730399999999999</v>
      </c>
      <c r="Q369">
        <v>3</v>
      </c>
    </row>
    <row r="370" spans="1:17" x14ac:dyDescent="0.25">
      <c r="A370" t="s">
        <v>701</v>
      </c>
      <c r="B370" t="s">
        <v>714</v>
      </c>
      <c r="C370" t="s">
        <v>1</v>
      </c>
      <c r="D370" t="s">
        <v>0</v>
      </c>
      <c r="E370">
        <v>1629</v>
      </c>
      <c r="F370" t="s">
        <v>475</v>
      </c>
      <c r="G370" t="s">
        <v>476</v>
      </c>
      <c r="H370" s="3">
        <v>0</v>
      </c>
      <c r="I370" s="3">
        <v>0</v>
      </c>
      <c r="J370" s="3">
        <v>0</v>
      </c>
      <c r="K370" s="3">
        <v>49.7</v>
      </c>
      <c r="L370" s="3">
        <v>0</v>
      </c>
      <c r="M370" s="3">
        <v>0</v>
      </c>
      <c r="N370" s="3">
        <v>0</v>
      </c>
      <c r="O370" s="3">
        <v>6.4610000000000003</v>
      </c>
      <c r="P370" s="3">
        <v>56.161000000000001</v>
      </c>
      <c r="Q370">
        <v>3</v>
      </c>
    </row>
    <row r="371" spans="1:17" x14ac:dyDescent="0.25">
      <c r="A371" t="s">
        <v>701</v>
      </c>
      <c r="B371" t="s">
        <v>714</v>
      </c>
      <c r="C371" t="s">
        <v>1</v>
      </c>
      <c r="D371" t="s">
        <v>0</v>
      </c>
      <c r="E371">
        <v>1621</v>
      </c>
      <c r="F371" t="s">
        <v>475</v>
      </c>
      <c r="G371" t="s">
        <v>476</v>
      </c>
      <c r="H371" s="3">
        <v>0</v>
      </c>
      <c r="I371" s="3">
        <v>0</v>
      </c>
      <c r="J371" s="3">
        <v>0</v>
      </c>
      <c r="K371" s="3">
        <v>36.22</v>
      </c>
      <c r="L371" s="3">
        <v>0</v>
      </c>
      <c r="M371" s="3">
        <v>0</v>
      </c>
      <c r="N371" s="3">
        <v>0</v>
      </c>
      <c r="O371" s="3">
        <v>4.7085999999999997</v>
      </c>
      <c r="P371" s="3">
        <v>40.928599999999996</v>
      </c>
      <c r="Q371">
        <v>3</v>
      </c>
    </row>
    <row r="372" spans="1:17" x14ac:dyDescent="0.25">
      <c r="A372" t="s">
        <v>701</v>
      </c>
      <c r="B372" t="s">
        <v>714</v>
      </c>
      <c r="C372" t="s">
        <v>1</v>
      </c>
      <c r="D372" t="s">
        <v>0</v>
      </c>
      <c r="E372">
        <v>166823</v>
      </c>
      <c r="F372" t="s">
        <v>459</v>
      </c>
      <c r="G372" t="s">
        <v>460</v>
      </c>
      <c r="H372" s="3">
        <v>2.2599999999999998</v>
      </c>
      <c r="I372" s="3">
        <v>0</v>
      </c>
      <c r="J372" s="3">
        <v>0</v>
      </c>
      <c r="K372" s="3">
        <v>23.66</v>
      </c>
      <c r="L372" s="3">
        <v>0</v>
      </c>
      <c r="M372" s="3">
        <v>0</v>
      </c>
      <c r="N372" s="3">
        <v>0</v>
      </c>
      <c r="O372" s="3">
        <v>3.0758000000000001</v>
      </c>
      <c r="P372" s="3">
        <v>28.995800000000003</v>
      </c>
      <c r="Q372">
        <v>3</v>
      </c>
    </row>
    <row r="373" spans="1:17" x14ac:dyDescent="0.25">
      <c r="A373" t="s">
        <v>701</v>
      </c>
      <c r="B373" t="s">
        <v>714</v>
      </c>
      <c r="C373" t="s">
        <v>1</v>
      </c>
      <c r="D373" t="s">
        <v>0</v>
      </c>
      <c r="E373">
        <v>15741</v>
      </c>
      <c r="F373" t="s">
        <v>455</v>
      </c>
      <c r="G373" t="s">
        <v>456</v>
      </c>
      <c r="H373" s="3">
        <v>7.56</v>
      </c>
      <c r="I373" s="3">
        <v>0</v>
      </c>
      <c r="J373" s="3">
        <v>0</v>
      </c>
      <c r="K373" s="3">
        <v>72.959999999999994</v>
      </c>
      <c r="L373" s="3">
        <v>0</v>
      </c>
      <c r="M373" s="3">
        <v>0</v>
      </c>
      <c r="N373" s="3">
        <v>0</v>
      </c>
      <c r="O373" s="3">
        <v>9.4847999999999999</v>
      </c>
      <c r="P373" s="3">
        <v>90.004799999999989</v>
      </c>
      <c r="Q373">
        <v>3</v>
      </c>
    </row>
    <row r="374" spans="1:17" x14ac:dyDescent="0.25">
      <c r="A374" t="s">
        <v>701</v>
      </c>
      <c r="B374" t="s">
        <v>714</v>
      </c>
      <c r="C374" t="s">
        <v>1</v>
      </c>
      <c r="D374" t="s">
        <v>0</v>
      </c>
      <c r="E374">
        <v>59175</v>
      </c>
      <c r="F374" t="s">
        <v>418</v>
      </c>
      <c r="G374" t="s">
        <v>419</v>
      </c>
      <c r="H374" s="3">
        <v>10.899999999999999</v>
      </c>
      <c r="I374" s="3">
        <v>0</v>
      </c>
      <c r="J374" s="3">
        <v>0</v>
      </c>
      <c r="K374" s="3">
        <v>106.73</v>
      </c>
      <c r="L374" s="3">
        <v>0</v>
      </c>
      <c r="M374" s="3">
        <v>0</v>
      </c>
      <c r="N374" s="3">
        <v>0</v>
      </c>
      <c r="O374" s="3">
        <v>13.8749</v>
      </c>
      <c r="P374" s="3">
        <v>131.50489999999999</v>
      </c>
      <c r="Q374">
        <v>3</v>
      </c>
    </row>
    <row r="375" spans="1:17" x14ac:dyDescent="0.25">
      <c r="A375" t="s">
        <v>701</v>
      </c>
      <c r="B375" t="s">
        <v>734</v>
      </c>
      <c r="C375" t="s">
        <v>1</v>
      </c>
      <c r="D375" t="s">
        <v>0</v>
      </c>
      <c r="E375">
        <v>662</v>
      </c>
      <c r="F375" t="s">
        <v>433</v>
      </c>
      <c r="G375" t="s">
        <v>434</v>
      </c>
      <c r="H375" s="3">
        <v>0</v>
      </c>
      <c r="I375" s="3">
        <v>0</v>
      </c>
      <c r="J375" s="3">
        <v>0</v>
      </c>
      <c r="K375" s="3">
        <v>569.72</v>
      </c>
      <c r="L375" s="3">
        <v>0</v>
      </c>
      <c r="M375" s="3">
        <v>0</v>
      </c>
      <c r="N375" s="3">
        <v>0</v>
      </c>
      <c r="O375" s="3">
        <v>74.063600000000008</v>
      </c>
      <c r="P375" s="3">
        <v>643.78359999999998</v>
      </c>
      <c r="Q375">
        <v>3</v>
      </c>
    </row>
    <row r="376" spans="1:17" x14ac:dyDescent="0.25">
      <c r="A376" t="s">
        <v>701</v>
      </c>
      <c r="B376" t="s">
        <v>715</v>
      </c>
      <c r="C376" t="s">
        <v>1</v>
      </c>
      <c r="D376" t="s">
        <v>0</v>
      </c>
      <c r="E376">
        <v>1638</v>
      </c>
      <c r="F376" t="s">
        <v>475</v>
      </c>
      <c r="G376" t="s">
        <v>476</v>
      </c>
      <c r="H376" s="3">
        <v>0</v>
      </c>
      <c r="I376" s="3">
        <v>0</v>
      </c>
      <c r="J376" s="3">
        <v>0</v>
      </c>
      <c r="K376" s="3">
        <v>56.26</v>
      </c>
      <c r="L376" s="3">
        <v>0</v>
      </c>
      <c r="M376" s="3">
        <v>0</v>
      </c>
      <c r="N376" s="3">
        <v>0</v>
      </c>
      <c r="O376" s="3">
        <v>7.3137999999999996</v>
      </c>
      <c r="P376" s="3">
        <v>63.573799999999999</v>
      </c>
      <c r="Q376">
        <v>3</v>
      </c>
    </row>
    <row r="377" spans="1:17" x14ac:dyDescent="0.25">
      <c r="A377" t="s">
        <v>701</v>
      </c>
      <c r="B377" t="s">
        <v>715</v>
      </c>
      <c r="C377" t="s">
        <v>1</v>
      </c>
      <c r="D377" t="s">
        <v>0</v>
      </c>
      <c r="E377">
        <v>1643</v>
      </c>
      <c r="F377" t="s">
        <v>475</v>
      </c>
      <c r="G377" t="s">
        <v>476</v>
      </c>
      <c r="H377" s="3">
        <v>0</v>
      </c>
      <c r="I377" s="3">
        <v>0</v>
      </c>
      <c r="J377" s="3">
        <v>0</v>
      </c>
      <c r="K377" s="3">
        <v>31.16</v>
      </c>
      <c r="L377" s="3">
        <v>0</v>
      </c>
      <c r="M377" s="3">
        <v>0</v>
      </c>
      <c r="N377" s="3">
        <v>0</v>
      </c>
      <c r="O377" s="3">
        <v>4.0507999999999997</v>
      </c>
      <c r="P377" s="3">
        <v>35.210799999999999</v>
      </c>
      <c r="Q377">
        <v>3</v>
      </c>
    </row>
    <row r="378" spans="1:17" x14ac:dyDescent="0.25">
      <c r="A378" t="s">
        <v>701</v>
      </c>
      <c r="B378" t="s">
        <v>715</v>
      </c>
      <c r="C378" t="s">
        <v>1</v>
      </c>
      <c r="D378" t="s">
        <v>0</v>
      </c>
      <c r="E378">
        <v>171704</v>
      </c>
      <c r="F378" t="s">
        <v>425</v>
      </c>
      <c r="G378" t="s">
        <v>426</v>
      </c>
      <c r="H378" s="3">
        <v>3.4799999999999995</v>
      </c>
      <c r="I378" s="3">
        <v>0</v>
      </c>
      <c r="J378" s="3">
        <v>0</v>
      </c>
      <c r="K378" s="3">
        <v>38.909999999999997</v>
      </c>
      <c r="L378" s="3">
        <v>0</v>
      </c>
      <c r="M378" s="3">
        <v>0</v>
      </c>
      <c r="N378" s="3">
        <v>0</v>
      </c>
      <c r="O378" s="3">
        <v>5.0583</v>
      </c>
      <c r="P378" s="3">
        <v>47.448299999999996</v>
      </c>
      <c r="Q378">
        <v>3</v>
      </c>
    </row>
    <row r="379" spans="1:17" x14ac:dyDescent="0.25">
      <c r="A379" t="s">
        <v>701</v>
      </c>
      <c r="B379" t="s">
        <v>715</v>
      </c>
      <c r="C379" t="s">
        <v>1</v>
      </c>
      <c r="D379" t="s">
        <v>0</v>
      </c>
      <c r="E379">
        <v>59696</v>
      </c>
      <c r="F379" t="s">
        <v>418</v>
      </c>
      <c r="G379" t="s">
        <v>419</v>
      </c>
      <c r="H379" s="3">
        <v>11.55</v>
      </c>
      <c r="I379" s="3">
        <v>0</v>
      </c>
      <c r="J379" s="3">
        <v>0</v>
      </c>
      <c r="K379" s="3">
        <v>113.12</v>
      </c>
      <c r="L379" s="3">
        <v>0</v>
      </c>
      <c r="M379" s="3">
        <v>0</v>
      </c>
      <c r="N379" s="3">
        <v>0</v>
      </c>
      <c r="O379" s="3">
        <v>14.7056</v>
      </c>
      <c r="P379" s="3">
        <v>139.37559999999999</v>
      </c>
      <c r="Q379">
        <v>3</v>
      </c>
    </row>
    <row r="380" spans="1:17" x14ac:dyDescent="0.25">
      <c r="A380" t="s">
        <v>701</v>
      </c>
      <c r="B380" t="s">
        <v>715</v>
      </c>
      <c r="C380" t="s">
        <v>1</v>
      </c>
      <c r="D380" t="s">
        <v>0</v>
      </c>
      <c r="E380">
        <v>59576</v>
      </c>
      <c r="F380" t="s">
        <v>418</v>
      </c>
      <c r="G380" t="s">
        <v>419</v>
      </c>
      <c r="H380" s="3">
        <v>8.14</v>
      </c>
      <c r="I380" s="3">
        <v>0</v>
      </c>
      <c r="J380" s="3">
        <v>0</v>
      </c>
      <c r="K380" s="3">
        <v>78.75</v>
      </c>
      <c r="L380" s="3">
        <v>0</v>
      </c>
      <c r="M380" s="3">
        <v>0</v>
      </c>
      <c r="N380" s="3">
        <v>0</v>
      </c>
      <c r="O380" s="3">
        <v>10.237500000000001</v>
      </c>
      <c r="P380" s="3">
        <v>97.127499999999998</v>
      </c>
      <c r="Q380">
        <v>3</v>
      </c>
    </row>
    <row r="381" spans="1:17" x14ac:dyDescent="0.25">
      <c r="A381" t="s">
        <v>701</v>
      </c>
      <c r="B381" t="s">
        <v>716</v>
      </c>
      <c r="C381" t="s">
        <v>1</v>
      </c>
      <c r="D381" t="s">
        <v>0</v>
      </c>
      <c r="E381">
        <v>1649</v>
      </c>
      <c r="F381" t="s">
        <v>475</v>
      </c>
      <c r="G381" t="s">
        <v>476</v>
      </c>
      <c r="H381" s="3">
        <v>0</v>
      </c>
      <c r="I381" s="3">
        <v>0</v>
      </c>
      <c r="J381" s="3">
        <v>0</v>
      </c>
      <c r="K381" s="3">
        <v>56.26</v>
      </c>
      <c r="L381" s="3">
        <v>0</v>
      </c>
      <c r="M381" s="3">
        <v>0</v>
      </c>
      <c r="N381" s="3">
        <v>0</v>
      </c>
      <c r="O381" s="3">
        <v>7.3137999999999996</v>
      </c>
      <c r="P381" s="3">
        <v>63.573799999999999</v>
      </c>
      <c r="Q381">
        <v>3</v>
      </c>
    </row>
    <row r="382" spans="1:17" x14ac:dyDescent="0.25">
      <c r="A382" t="s">
        <v>701</v>
      </c>
      <c r="B382" t="s">
        <v>716</v>
      </c>
      <c r="C382" t="s">
        <v>1</v>
      </c>
      <c r="D382" t="s">
        <v>0</v>
      </c>
      <c r="E382">
        <v>1647</v>
      </c>
      <c r="F382" t="s">
        <v>475</v>
      </c>
      <c r="G382" t="s">
        <v>476</v>
      </c>
      <c r="H382" s="3">
        <v>0</v>
      </c>
      <c r="I382" s="3">
        <v>0</v>
      </c>
      <c r="J382" s="3">
        <v>0</v>
      </c>
      <c r="K382" s="3">
        <v>31.44</v>
      </c>
      <c r="L382" s="3">
        <v>0</v>
      </c>
      <c r="M382" s="3">
        <v>0</v>
      </c>
      <c r="N382" s="3">
        <v>0</v>
      </c>
      <c r="O382" s="3">
        <v>4.0872000000000002</v>
      </c>
      <c r="P382" s="3">
        <v>35.527200000000001</v>
      </c>
      <c r="Q382">
        <v>3</v>
      </c>
    </row>
    <row r="383" spans="1:17" x14ac:dyDescent="0.25">
      <c r="A383" t="s">
        <v>701</v>
      </c>
      <c r="B383" t="s">
        <v>716</v>
      </c>
      <c r="C383" t="s">
        <v>1</v>
      </c>
      <c r="D383" t="s">
        <v>0</v>
      </c>
      <c r="E383">
        <v>59935</v>
      </c>
      <c r="F383" t="s">
        <v>418</v>
      </c>
      <c r="G383" t="s">
        <v>419</v>
      </c>
      <c r="H383" s="3">
        <v>1.6600000000000001</v>
      </c>
      <c r="I383" s="3">
        <v>0</v>
      </c>
      <c r="J383" s="3">
        <v>0</v>
      </c>
      <c r="K383" s="3">
        <v>16.23</v>
      </c>
      <c r="L383" s="3">
        <v>0</v>
      </c>
      <c r="M383" s="3">
        <v>0</v>
      </c>
      <c r="N383" s="3">
        <v>0</v>
      </c>
      <c r="O383" s="3">
        <v>2.1099000000000001</v>
      </c>
      <c r="P383" s="3">
        <v>19.9999</v>
      </c>
      <c r="Q383">
        <v>3</v>
      </c>
    </row>
    <row r="384" spans="1:17" x14ac:dyDescent="0.25">
      <c r="A384" t="s">
        <v>701</v>
      </c>
      <c r="B384" t="s">
        <v>637</v>
      </c>
      <c r="C384" t="s">
        <v>1</v>
      </c>
      <c r="D384" t="s">
        <v>0</v>
      </c>
      <c r="E384">
        <v>1611</v>
      </c>
      <c r="F384" t="s">
        <v>559</v>
      </c>
      <c r="G384" t="s">
        <v>560</v>
      </c>
      <c r="H384" s="3">
        <v>0</v>
      </c>
      <c r="I384" s="3">
        <v>0</v>
      </c>
      <c r="J384" s="3">
        <v>0</v>
      </c>
      <c r="K384" s="3">
        <v>6.65</v>
      </c>
      <c r="L384" s="3">
        <v>0</v>
      </c>
      <c r="M384" s="3">
        <v>0</v>
      </c>
      <c r="N384" s="3">
        <v>0</v>
      </c>
      <c r="O384" s="3">
        <v>0.86450000000000005</v>
      </c>
      <c r="P384" s="3">
        <v>7.5145</v>
      </c>
      <c r="Q384">
        <v>3</v>
      </c>
    </row>
    <row r="385" spans="1:17" x14ac:dyDescent="0.25">
      <c r="A385" t="s">
        <v>701</v>
      </c>
      <c r="B385" t="s">
        <v>717</v>
      </c>
      <c r="C385" t="s">
        <v>1</v>
      </c>
      <c r="D385" t="s">
        <v>0</v>
      </c>
      <c r="E385">
        <v>1659</v>
      </c>
      <c r="F385" t="s">
        <v>475</v>
      </c>
      <c r="G385" t="s">
        <v>476</v>
      </c>
      <c r="H385" s="3">
        <v>0</v>
      </c>
      <c r="I385" s="3">
        <v>0</v>
      </c>
      <c r="J385" s="3">
        <v>0</v>
      </c>
      <c r="K385" s="3">
        <v>33.97</v>
      </c>
      <c r="L385" s="3">
        <v>0</v>
      </c>
      <c r="M385" s="3">
        <v>0</v>
      </c>
      <c r="N385" s="3">
        <v>0</v>
      </c>
      <c r="O385" s="3">
        <v>4.4161000000000001</v>
      </c>
      <c r="P385" s="3">
        <v>38.386099999999999</v>
      </c>
      <c r="Q385">
        <v>3</v>
      </c>
    </row>
    <row r="386" spans="1:17" x14ac:dyDescent="0.25">
      <c r="A386" t="s">
        <v>701</v>
      </c>
      <c r="B386" t="s">
        <v>717</v>
      </c>
      <c r="C386" t="s">
        <v>1</v>
      </c>
      <c r="D386" t="s">
        <v>0</v>
      </c>
      <c r="E386">
        <v>20859</v>
      </c>
      <c r="F386" t="s">
        <v>448</v>
      </c>
      <c r="G386" t="s">
        <v>449</v>
      </c>
      <c r="H386" s="3">
        <v>8.75</v>
      </c>
      <c r="I386" s="3">
        <v>0</v>
      </c>
      <c r="J386" s="3">
        <v>0</v>
      </c>
      <c r="K386" s="3">
        <v>85.18</v>
      </c>
      <c r="L386" s="3">
        <v>0</v>
      </c>
      <c r="M386" s="3">
        <v>0</v>
      </c>
      <c r="N386" s="3">
        <v>0</v>
      </c>
      <c r="O386" s="3">
        <v>11.073400000000001</v>
      </c>
      <c r="P386" s="3">
        <v>105.00340000000001</v>
      </c>
      <c r="Q386">
        <v>3</v>
      </c>
    </row>
    <row r="387" spans="1:17" x14ac:dyDescent="0.25">
      <c r="A387" t="s">
        <v>701</v>
      </c>
      <c r="B387" t="s">
        <v>717</v>
      </c>
      <c r="C387" t="s">
        <v>1</v>
      </c>
      <c r="D387" t="s">
        <v>0</v>
      </c>
      <c r="E387">
        <v>171956</v>
      </c>
      <c r="F387" t="s">
        <v>425</v>
      </c>
      <c r="G387" t="s">
        <v>426</v>
      </c>
      <c r="H387" s="3">
        <v>4.8099999999999996</v>
      </c>
      <c r="I387" s="3">
        <v>0</v>
      </c>
      <c r="J387" s="3">
        <v>0</v>
      </c>
      <c r="K387" s="3">
        <v>47.07</v>
      </c>
      <c r="L387" s="3">
        <v>0</v>
      </c>
      <c r="M387" s="3">
        <v>0</v>
      </c>
      <c r="N387" s="3">
        <v>0</v>
      </c>
      <c r="O387" s="3">
        <v>6.1191000000000004</v>
      </c>
      <c r="P387" s="3">
        <v>57.999100000000006</v>
      </c>
      <c r="Q387">
        <v>3</v>
      </c>
    </row>
    <row r="388" spans="1:17" x14ac:dyDescent="0.25">
      <c r="A388" t="s">
        <v>701</v>
      </c>
      <c r="B388" t="s">
        <v>717</v>
      </c>
      <c r="C388" t="s">
        <v>1</v>
      </c>
      <c r="D388" t="s">
        <v>0</v>
      </c>
      <c r="E388">
        <v>60080</v>
      </c>
      <c r="F388" t="s">
        <v>418</v>
      </c>
      <c r="G388" t="s">
        <v>419</v>
      </c>
      <c r="H388" s="3">
        <v>6.91</v>
      </c>
      <c r="I388" s="3">
        <v>0</v>
      </c>
      <c r="J388" s="3">
        <v>0</v>
      </c>
      <c r="K388" s="3">
        <v>67.680000000000007</v>
      </c>
      <c r="L388" s="3">
        <v>0</v>
      </c>
      <c r="M388" s="3">
        <v>0</v>
      </c>
      <c r="N388" s="3">
        <v>0</v>
      </c>
      <c r="O388" s="3">
        <v>8.7984000000000009</v>
      </c>
      <c r="P388" s="3">
        <v>83.388400000000004</v>
      </c>
      <c r="Q388">
        <v>3</v>
      </c>
    </row>
    <row r="389" spans="1:17" x14ac:dyDescent="0.25">
      <c r="A389" t="s">
        <v>701</v>
      </c>
      <c r="B389" t="s">
        <v>718</v>
      </c>
      <c r="C389" t="s">
        <v>1</v>
      </c>
      <c r="D389" t="s">
        <v>0</v>
      </c>
      <c r="E389">
        <v>60370</v>
      </c>
      <c r="F389" t="s">
        <v>418</v>
      </c>
      <c r="G389" t="s">
        <v>419</v>
      </c>
      <c r="H389" s="3">
        <v>9.9599999999999991</v>
      </c>
      <c r="I389" s="3">
        <v>0</v>
      </c>
      <c r="J389" s="3">
        <v>0</v>
      </c>
      <c r="K389" s="3">
        <v>97.5</v>
      </c>
      <c r="L389" s="3">
        <v>0</v>
      </c>
      <c r="M389" s="3">
        <v>0</v>
      </c>
      <c r="N389" s="3">
        <v>0</v>
      </c>
      <c r="O389" s="3">
        <v>12.675000000000001</v>
      </c>
      <c r="P389" s="3">
        <v>120.13499999999999</v>
      </c>
      <c r="Q389">
        <v>3</v>
      </c>
    </row>
    <row r="390" spans="1:17" x14ac:dyDescent="0.25">
      <c r="A390" t="s">
        <v>701</v>
      </c>
      <c r="B390" t="s">
        <v>719</v>
      </c>
      <c r="C390" t="s">
        <v>1</v>
      </c>
      <c r="D390" t="s">
        <v>0</v>
      </c>
      <c r="E390">
        <v>119762</v>
      </c>
      <c r="F390" t="s">
        <v>491</v>
      </c>
      <c r="G390" t="s">
        <v>492</v>
      </c>
      <c r="H390" s="3">
        <v>0</v>
      </c>
      <c r="I390" s="3">
        <v>0</v>
      </c>
      <c r="J390" s="3">
        <v>0</v>
      </c>
      <c r="K390" s="3">
        <v>32.26</v>
      </c>
      <c r="L390" s="3">
        <v>0</v>
      </c>
      <c r="M390" s="3">
        <v>0</v>
      </c>
      <c r="N390" s="3">
        <v>0</v>
      </c>
      <c r="O390" s="3">
        <v>4.1937999999999995</v>
      </c>
      <c r="P390" s="3">
        <v>36.453800000000001</v>
      </c>
      <c r="Q390">
        <v>3</v>
      </c>
    </row>
    <row r="391" spans="1:17" x14ac:dyDescent="0.25">
      <c r="A391" t="s">
        <v>701</v>
      </c>
      <c r="B391" t="s">
        <v>719</v>
      </c>
      <c r="C391" t="s">
        <v>1</v>
      </c>
      <c r="D391" t="s">
        <v>0</v>
      </c>
      <c r="E391">
        <v>119741</v>
      </c>
      <c r="F391" t="s">
        <v>491</v>
      </c>
      <c r="G391" t="s">
        <v>492</v>
      </c>
      <c r="H391" s="3">
        <v>0</v>
      </c>
      <c r="I391" s="3">
        <v>0</v>
      </c>
      <c r="J391" s="3">
        <v>0</v>
      </c>
      <c r="K391" s="3">
        <v>75.260000000000005</v>
      </c>
      <c r="L391" s="3">
        <v>0</v>
      </c>
      <c r="M391" s="3">
        <v>0</v>
      </c>
      <c r="N391" s="3">
        <v>0</v>
      </c>
      <c r="O391" s="3">
        <v>9.7838000000000012</v>
      </c>
      <c r="P391" s="3">
        <v>85.043800000000005</v>
      </c>
      <c r="Q391">
        <v>3</v>
      </c>
    </row>
    <row r="392" spans="1:17" x14ac:dyDescent="0.25">
      <c r="A392" t="s">
        <v>701</v>
      </c>
      <c r="B392" t="s">
        <v>719</v>
      </c>
      <c r="C392" t="s">
        <v>1</v>
      </c>
      <c r="D392" t="s">
        <v>0</v>
      </c>
      <c r="E392">
        <v>6448</v>
      </c>
      <c r="F392" t="s">
        <v>571</v>
      </c>
      <c r="G392" t="s">
        <v>572</v>
      </c>
      <c r="H392" s="3">
        <v>0</v>
      </c>
      <c r="I392" s="3">
        <v>0</v>
      </c>
      <c r="J392" s="3">
        <v>0</v>
      </c>
      <c r="K392" s="3">
        <v>172.57</v>
      </c>
      <c r="L392" s="3">
        <v>0</v>
      </c>
      <c r="M392" s="3">
        <v>0</v>
      </c>
      <c r="N392" s="3">
        <v>0</v>
      </c>
      <c r="O392" s="3">
        <v>22.434100000000001</v>
      </c>
      <c r="P392" s="3">
        <v>195.00409999999999</v>
      </c>
      <c r="Q392">
        <v>3</v>
      </c>
    </row>
    <row r="393" spans="1:17" x14ac:dyDescent="0.25">
      <c r="A393" t="s">
        <v>701</v>
      </c>
      <c r="B393" t="s">
        <v>719</v>
      </c>
      <c r="C393" t="s">
        <v>1</v>
      </c>
      <c r="D393" t="s">
        <v>0</v>
      </c>
      <c r="E393">
        <v>2456</v>
      </c>
      <c r="F393" t="s">
        <v>568</v>
      </c>
      <c r="G393" t="s">
        <v>570</v>
      </c>
      <c r="H393" s="3">
        <v>0</v>
      </c>
      <c r="I393" s="3">
        <v>0</v>
      </c>
      <c r="J393" s="3">
        <v>0</v>
      </c>
      <c r="K393" s="3">
        <v>116.02</v>
      </c>
      <c r="L393" s="3">
        <v>0</v>
      </c>
      <c r="M393" s="3">
        <v>0</v>
      </c>
      <c r="N393" s="3">
        <v>0</v>
      </c>
      <c r="O393" s="3">
        <v>15.082599999999999</v>
      </c>
      <c r="P393" s="3">
        <v>131.1026</v>
      </c>
      <c r="Q393">
        <v>3</v>
      </c>
    </row>
    <row r="394" spans="1:17" x14ac:dyDescent="0.25">
      <c r="A394" t="s">
        <v>701</v>
      </c>
      <c r="B394" t="s">
        <v>719</v>
      </c>
      <c r="C394" t="s">
        <v>1</v>
      </c>
      <c r="D394" t="s">
        <v>0</v>
      </c>
      <c r="E394">
        <v>75498</v>
      </c>
      <c r="F394" t="s">
        <v>477</v>
      </c>
      <c r="G394" t="s">
        <v>478</v>
      </c>
      <c r="H394" s="3">
        <v>0</v>
      </c>
      <c r="I394" s="3">
        <v>0</v>
      </c>
      <c r="J394" s="3">
        <v>0</v>
      </c>
      <c r="K394" s="3">
        <v>158.46</v>
      </c>
      <c r="L394" s="3">
        <v>0</v>
      </c>
      <c r="M394" s="3">
        <v>0</v>
      </c>
      <c r="N394" s="3">
        <v>0</v>
      </c>
      <c r="O394" s="3">
        <v>20.599800000000002</v>
      </c>
      <c r="P394" s="3">
        <v>179.0598</v>
      </c>
      <c r="Q394">
        <v>3</v>
      </c>
    </row>
    <row r="395" spans="1:17" x14ac:dyDescent="0.25">
      <c r="A395" t="s">
        <v>701</v>
      </c>
      <c r="B395" t="s">
        <v>719</v>
      </c>
      <c r="C395" t="s">
        <v>1</v>
      </c>
      <c r="D395" t="s">
        <v>0</v>
      </c>
      <c r="E395">
        <v>1668</v>
      </c>
      <c r="F395" t="s">
        <v>475</v>
      </c>
      <c r="G395" t="s">
        <v>476</v>
      </c>
      <c r="H395" s="3">
        <v>0</v>
      </c>
      <c r="I395" s="3">
        <v>0</v>
      </c>
      <c r="J395" s="3">
        <v>0</v>
      </c>
      <c r="K395" s="3">
        <v>56.26</v>
      </c>
      <c r="L395" s="3">
        <v>0</v>
      </c>
      <c r="M395" s="3">
        <v>0</v>
      </c>
      <c r="N395" s="3">
        <v>0</v>
      </c>
      <c r="O395" s="3">
        <v>7.3137999999999996</v>
      </c>
      <c r="P395" s="3">
        <v>63.573799999999999</v>
      </c>
      <c r="Q395">
        <v>3</v>
      </c>
    </row>
    <row r="396" spans="1:17" x14ac:dyDescent="0.25">
      <c r="A396" t="s">
        <v>701</v>
      </c>
      <c r="B396" t="s">
        <v>719</v>
      </c>
      <c r="C396" t="s">
        <v>1</v>
      </c>
      <c r="D396" t="s">
        <v>0</v>
      </c>
      <c r="E396">
        <v>1669</v>
      </c>
      <c r="F396" t="s">
        <v>475</v>
      </c>
      <c r="G396" t="s">
        <v>476</v>
      </c>
      <c r="H396" s="3">
        <v>0</v>
      </c>
      <c r="I396" s="3">
        <v>0</v>
      </c>
      <c r="J396" s="3">
        <v>0</v>
      </c>
      <c r="K396" s="3">
        <v>56.26</v>
      </c>
      <c r="L396" s="3">
        <v>0</v>
      </c>
      <c r="M396" s="3">
        <v>0</v>
      </c>
      <c r="N396" s="3">
        <v>0</v>
      </c>
      <c r="O396" s="3">
        <v>7.3137999999999996</v>
      </c>
      <c r="P396" s="3">
        <v>63.573799999999999</v>
      </c>
      <c r="Q396">
        <v>3</v>
      </c>
    </row>
    <row r="397" spans="1:17" x14ac:dyDescent="0.25">
      <c r="A397" t="s">
        <v>701</v>
      </c>
      <c r="B397" t="s">
        <v>719</v>
      </c>
      <c r="C397" t="s">
        <v>1</v>
      </c>
      <c r="D397" t="s">
        <v>0</v>
      </c>
      <c r="E397">
        <v>1665</v>
      </c>
      <c r="F397" t="s">
        <v>475</v>
      </c>
      <c r="G397" t="s">
        <v>476</v>
      </c>
      <c r="H397" s="3">
        <v>0</v>
      </c>
      <c r="I397" s="3">
        <v>0</v>
      </c>
      <c r="J397" s="3">
        <v>0</v>
      </c>
      <c r="K397" s="3">
        <v>56.26</v>
      </c>
      <c r="L397" s="3">
        <v>0</v>
      </c>
      <c r="M397" s="3">
        <v>0</v>
      </c>
      <c r="N397" s="3">
        <v>0</v>
      </c>
      <c r="O397" s="3">
        <v>7.3137999999999996</v>
      </c>
      <c r="P397" s="3">
        <v>63.573799999999999</v>
      </c>
      <c r="Q397">
        <v>3</v>
      </c>
    </row>
    <row r="398" spans="1:17" x14ac:dyDescent="0.25">
      <c r="A398" t="s">
        <v>701</v>
      </c>
      <c r="B398" t="s">
        <v>719</v>
      </c>
      <c r="C398" t="s">
        <v>1</v>
      </c>
      <c r="D398" t="s">
        <v>0</v>
      </c>
      <c r="E398">
        <v>1852</v>
      </c>
      <c r="F398" t="s">
        <v>473</v>
      </c>
      <c r="G398" t="s">
        <v>474</v>
      </c>
      <c r="H398" s="3">
        <v>0</v>
      </c>
      <c r="I398" s="3">
        <v>0</v>
      </c>
      <c r="J398" s="3">
        <v>0</v>
      </c>
      <c r="K398" s="3">
        <v>29.2</v>
      </c>
      <c r="L398" s="3">
        <v>0</v>
      </c>
      <c r="M398" s="3">
        <v>0</v>
      </c>
      <c r="N398" s="3">
        <v>0</v>
      </c>
      <c r="O398" s="3">
        <v>3.7959999999999998</v>
      </c>
      <c r="P398" s="3">
        <v>32.996000000000002</v>
      </c>
      <c r="Q398">
        <v>3</v>
      </c>
    </row>
    <row r="399" spans="1:17" x14ac:dyDescent="0.25">
      <c r="A399" t="s">
        <v>701</v>
      </c>
      <c r="B399" t="s">
        <v>719</v>
      </c>
      <c r="C399" t="s">
        <v>1</v>
      </c>
      <c r="D399" t="s">
        <v>0</v>
      </c>
      <c r="E399">
        <v>60665</v>
      </c>
      <c r="F399" t="s">
        <v>418</v>
      </c>
      <c r="G399" t="s">
        <v>419</v>
      </c>
      <c r="H399" s="3">
        <v>6.7200000000000006</v>
      </c>
      <c r="I399" s="3">
        <v>0</v>
      </c>
      <c r="J399" s="3">
        <v>0</v>
      </c>
      <c r="K399" s="3">
        <v>65.849999999999994</v>
      </c>
      <c r="L399" s="3">
        <v>0</v>
      </c>
      <c r="M399" s="3">
        <v>0</v>
      </c>
      <c r="N399" s="3">
        <v>0</v>
      </c>
      <c r="O399" s="3">
        <v>8.5604999999999993</v>
      </c>
      <c r="P399" s="3">
        <v>81.130499999999998</v>
      </c>
      <c r="Q399">
        <v>3</v>
      </c>
    </row>
    <row r="400" spans="1:17" x14ac:dyDescent="0.25">
      <c r="A400" t="s">
        <v>701</v>
      </c>
      <c r="B400" t="s">
        <v>726</v>
      </c>
      <c r="C400" t="s">
        <v>1</v>
      </c>
      <c r="D400" t="s">
        <v>0</v>
      </c>
      <c r="E400">
        <v>1676</v>
      </c>
      <c r="F400" t="s">
        <v>475</v>
      </c>
      <c r="G400" t="s">
        <v>476</v>
      </c>
      <c r="H400" s="3">
        <v>0</v>
      </c>
      <c r="I400" s="3">
        <v>0</v>
      </c>
      <c r="J400" s="3">
        <v>0</v>
      </c>
      <c r="K400" s="3">
        <v>28.08</v>
      </c>
      <c r="L400" s="3">
        <v>0</v>
      </c>
      <c r="M400" s="3">
        <v>0</v>
      </c>
      <c r="N400" s="3">
        <v>0</v>
      </c>
      <c r="O400" s="3">
        <v>3.6503999999999999</v>
      </c>
      <c r="P400" s="3">
        <v>31.730399999999999</v>
      </c>
      <c r="Q400">
        <v>3</v>
      </c>
    </row>
    <row r="401" spans="1:17" x14ac:dyDescent="0.25">
      <c r="A401" t="s">
        <v>701</v>
      </c>
      <c r="B401" t="s">
        <v>726</v>
      </c>
      <c r="C401" t="s">
        <v>1</v>
      </c>
      <c r="D401" t="s">
        <v>0</v>
      </c>
      <c r="E401">
        <v>1675</v>
      </c>
      <c r="F401" t="s">
        <v>475</v>
      </c>
      <c r="G401" t="s">
        <v>476</v>
      </c>
      <c r="H401" s="3">
        <v>0</v>
      </c>
      <c r="I401" s="3">
        <v>0</v>
      </c>
      <c r="J401" s="3">
        <v>0</v>
      </c>
      <c r="K401" s="3">
        <v>61.49</v>
      </c>
      <c r="L401" s="3">
        <v>0</v>
      </c>
      <c r="M401" s="3">
        <v>0</v>
      </c>
      <c r="N401" s="3">
        <v>0</v>
      </c>
      <c r="O401" s="3">
        <v>7.9937000000000005</v>
      </c>
      <c r="P401" s="3">
        <v>69.483699999999999</v>
      </c>
      <c r="Q401">
        <v>3</v>
      </c>
    </row>
    <row r="402" spans="1:17" x14ac:dyDescent="0.25">
      <c r="A402" t="s">
        <v>701</v>
      </c>
      <c r="B402" t="s">
        <v>726</v>
      </c>
      <c r="C402" t="s">
        <v>1</v>
      </c>
      <c r="D402" t="s">
        <v>0</v>
      </c>
      <c r="E402">
        <v>1677</v>
      </c>
      <c r="F402" t="s">
        <v>475</v>
      </c>
      <c r="G402" t="s">
        <v>476</v>
      </c>
      <c r="H402" s="3">
        <v>0</v>
      </c>
      <c r="I402" s="3">
        <v>0</v>
      </c>
      <c r="J402" s="3">
        <v>0</v>
      </c>
      <c r="K402" s="3">
        <v>38.18</v>
      </c>
      <c r="L402" s="3">
        <v>0</v>
      </c>
      <c r="M402" s="3">
        <v>0</v>
      </c>
      <c r="N402" s="3">
        <v>0</v>
      </c>
      <c r="O402" s="3">
        <v>4.9634</v>
      </c>
      <c r="P402" s="3">
        <v>43.1434</v>
      </c>
      <c r="Q402">
        <v>3</v>
      </c>
    </row>
    <row r="403" spans="1:17" x14ac:dyDescent="0.25">
      <c r="A403" t="s">
        <v>701</v>
      </c>
      <c r="B403" t="s">
        <v>726</v>
      </c>
      <c r="C403" t="s">
        <v>1</v>
      </c>
      <c r="D403" t="s">
        <v>0</v>
      </c>
      <c r="E403">
        <v>79764</v>
      </c>
      <c r="F403" t="s">
        <v>473</v>
      </c>
      <c r="G403" t="s">
        <v>474</v>
      </c>
      <c r="H403" s="3">
        <v>0</v>
      </c>
      <c r="I403" s="3">
        <v>0</v>
      </c>
      <c r="J403" s="3">
        <v>0</v>
      </c>
      <c r="K403" s="3">
        <v>45.98</v>
      </c>
      <c r="L403" s="3">
        <v>0</v>
      </c>
      <c r="M403" s="3">
        <v>0</v>
      </c>
      <c r="N403" s="3">
        <v>0</v>
      </c>
      <c r="O403" s="3">
        <v>5.9773999999999994</v>
      </c>
      <c r="P403" s="3">
        <v>51.957399999999993</v>
      </c>
      <c r="Q403">
        <v>3</v>
      </c>
    </row>
    <row r="404" spans="1:17" x14ac:dyDescent="0.25">
      <c r="A404" t="s">
        <v>701</v>
      </c>
      <c r="B404" t="s">
        <v>726</v>
      </c>
      <c r="C404" t="s">
        <v>1</v>
      </c>
      <c r="D404" t="s">
        <v>0</v>
      </c>
      <c r="E404">
        <v>16851</v>
      </c>
      <c r="F404" t="s">
        <v>455</v>
      </c>
      <c r="G404" t="s">
        <v>456</v>
      </c>
      <c r="H404" s="3">
        <v>13.45</v>
      </c>
      <c r="I404" s="3">
        <v>0</v>
      </c>
      <c r="J404" s="3">
        <v>0</v>
      </c>
      <c r="K404" s="3">
        <v>129.69</v>
      </c>
      <c r="L404" s="3">
        <v>0</v>
      </c>
      <c r="M404" s="3">
        <v>0</v>
      </c>
      <c r="N404" s="3">
        <v>0</v>
      </c>
      <c r="O404" s="3">
        <v>16.8597</v>
      </c>
      <c r="P404" s="3">
        <v>159.99969999999999</v>
      </c>
      <c r="Q404">
        <v>3</v>
      </c>
    </row>
    <row r="405" spans="1:17" x14ac:dyDescent="0.25">
      <c r="A405" t="s">
        <v>701</v>
      </c>
      <c r="B405" t="s">
        <v>726</v>
      </c>
      <c r="C405" t="s">
        <v>1</v>
      </c>
      <c r="D405" t="s">
        <v>0</v>
      </c>
      <c r="E405">
        <v>172289</v>
      </c>
      <c r="F405" t="s">
        <v>425</v>
      </c>
      <c r="G405" t="s">
        <v>426</v>
      </c>
      <c r="H405" s="3">
        <v>3.56</v>
      </c>
      <c r="I405" s="3">
        <v>0</v>
      </c>
      <c r="J405" s="3">
        <v>0</v>
      </c>
      <c r="K405" s="3">
        <v>34.9</v>
      </c>
      <c r="L405" s="3">
        <v>0</v>
      </c>
      <c r="M405" s="3">
        <v>0</v>
      </c>
      <c r="N405" s="3">
        <v>0</v>
      </c>
      <c r="O405" s="3">
        <v>4.5369999999999999</v>
      </c>
      <c r="P405" s="3">
        <v>42.997</v>
      </c>
      <c r="Q405">
        <v>3</v>
      </c>
    </row>
    <row r="406" spans="1:17" x14ac:dyDescent="0.25">
      <c r="A406" t="s">
        <v>701</v>
      </c>
      <c r="B406" t="s">
        <v>720</v>
      </c>
      <c r="C406" t="s">
        <v>1</v>
      </c>
      <c r="D406" t="s">
        <v>0</v>
      </c>
      <c r="E406">
        <v>1680</v>
      </c>
      <c r="F406" t="s">
        <v>475</v>
      </c>
      <c r="G406" t="s">
        <v>476</v>
      </c>
      <c r="H406" s="3">
        <v>0</v>
      </c>
      <c r="I406" s="3">
        <v>0</v>
      </c>
      <c r="J406" s="3">
        <v>0</v>
      </c>
      <c r="K406" s="3">
        <v>80.02</v>
      </c>
      <c r="L406" s="3">
        <v>0</v>
      </c>
      <c r="M406" s="3">
        <v>0</v>
      </c>
      <c r="N406" s="3">
        <v>0</v>
      </c>
      <c r="O406" s="3">
        <v>10.4026</v>
      </c>
      <c r="P406" s="3">
        <v>90.422599999999989</v>
      </c>
      <c r="Q406">
        <v>3</v>
      </c>
    </row>
    <row r="407" spans="1:17" x14ac:dyDescent="0.25">
      <c r="A407" t="s">
        <v>701</v>
      </c>
      <c r="B407" t="s">
        <v>720</v>
      </c>
      <c r="C407" t="s">
        <v>1</v>
      </c>
      <c r="D407" t="s">
        <v>0</v>
      </c>
      <c r="E407">
        <v>61242</v>
      </c>
      <c r="F407" t="s">
        <v>418</v>
      </c>
      <c r="G407" t="s">
        <v>419</v>
      </c>
      <c r="H407" s="3">
        <v>11.34</v>
      </c>
      <c r="I407" s="3">
        <v>0</v>
      </c>
      <c r="J407" s="3">
        <v>0</v>
      </c>
      <c r="K407" s="3">
        <v>111.13</v>
      </c>
      <c r="L407" s="3">
        <v>0</v>
      </c>
      <c r="M407" s="3">
        <v>0</v>
      </c>
      <c r="N407" s="3">
        <v>0</v>
      </c>
      <c r="O407" s="3">
        <v>14.446899999999999</v>
      </c>
      <c r="P407" s="3">
        <v>136.9169</v>
      </c>
      <c r="Q407">
        <v>3</v>
      </c>
    </row>
    <row r="408" spans="1:17" x14ac:dyDescent="0.25">
      <c r="A408" t="s">
        <v>701</v>
      </c>
      <c r="B408" t="s">
        <v>720</v>
      </c>
      <c r="C408" t="s">
        <v>1</v>
      </c>
      <c r="D408" t="s">
        <v>0</v>
      </c>
      <c r="E408">
        <v>61049</v>
      </c>
      <c r="F408" t="s">
        <v>418</v>
      </c>
      <c r="G408" t="s">
        <v>419</v>
      </c>
      <c r="H408" s="3">
        <v>1.96</v>
      </c>
      <c r="I408" s="3">
        <v>0</v>
      </c>
      <c r="J408" s="3">
        <v>0</v>
      </c>
      <c r="K408" s="3">
        <v>19.149999999999999</v>
      </c>
      <c r="L408" s="3">
        <v>0</v>
      </c>
      <c r="M408" s="3">
        <v>0</v>
      </c>
      <c r="N408" s="3">
        <v>0</v>
      </c>
      <c r="O408" s="3">
        <v>2.4895</v>
      </c>
      <c r="P408" s="3">
        <v>23.599499999999999</v>
      </c>
      <c r="Q408">
        <v>3</v>
      </c>
    </row>
    <row r="409" spans="1:17" x14ac:dyDescent="0.25">
      <c r="A409" t="s">
        <v>701</v>
      </c>
      <c r="B409" t="s">
        <v>720</v>
      </c>
      <c r="C409" t="s">
        <v>1</v>
      </c>
      <c r="D409" t="s">
        <v>0</v>
      </c>
      <c r="E409">
        <v>61027</v>
      </c>
      <c r="F409" t="s">
        <v>418</v>
      </c>
      <c r="G409" t="s">
        <v>419</v>
      </c>
      <c r="H409" s="3">
        <v>7.64</v>
      </c>
      <c r="I409" s="3">
        <v>0</v>
      </c>
      <c r="J409" s="3">
        <v>0</v>
      </c>
      <c r="K409" s="3">
        <v>74.84</v>
      </c>
      <c r="L409" s="3">
        <v>0</v>
      </c>
      <c r="M409" s="3">
        <v>0</v>
      </c>
      <c r="N409" s="3">
        <v>0</v>
      </c>
      <c r="O409" s="3">
        <v>9.7292000000000005</v>
      </c>
      <c r="P409" s="3">
        <v>92.20920000000001</v>
      </c>
      <c r="Q409">
        <v>3</v>
      </c>
    </row>
    <row r="410" spans="1:17" x14ac:dyDescent="0.25">
      <c r="A410" t="s">
        <v>701</v>
      </c>
      <c r="B410" t="s">
        <v>725</v>
      </c>
      <c r="C410" t="s">
        <v>1</v>
      </c>
      <c r="D410" t="s">
        <v>0</v>
      </c>
      <c r="E410">
        <v>1694</v>
      </c>
      <c r="F410" t="s">
        <v>475</v>
      </c>
      <c r="G410" t="s">
        <v>476</v>
      </c>
      <c r="H410" s="3">
        <v>0</v>
      </c>
      <c r="I410" s="3">
        <v>0</v>
      </c>
      <c r="J410" s="3">
        <v>0</v>
      </c>
      <c r="K410" s="3">
        <v>56.26</v>
      </c>
      <c r="L410" s="3">
        <v>0</v>
      </c>
      <c r="M410" s="3">
        <v>0</v>
      </c>
      <c r="N410" s="3">
        <v>0</v>
      </c>
      <c r="O410" s="3">
        <v>7.3137999999999996</v>
      </c>
      <c r="P410" s="3">
        <v>63.573799999999999</v>
      </c>
      <c r="Q410">
        <v>3</v>
      </c>
    </row>
    <row r="411" spans="1:17" x14ac:dyDescent="0.25">
      <c r="A411" t="s">
        <v>701</v>
      </c>
      <c r="B411" t="s">
        <v>725</v>
      </c>
      <c r="C411" t="s">
        <v>1</v>
      </c>
      <c r="D411" t="s">
        <v>0</v>
      </c>
      <c r="E411">
        <v>1693</v>
      </c>
      <c r="F411" t="s">
        <v>475</v>
      </c>
      <c r="G411" t="s">
        <v>476</v>
      </c>
      <c r="H411" s="3">
        <v>0</v>
      </c>
      <c r="I411" s="3">
        <v>0</v>
      </c>
      <c r="J411" s="3">
        <v>0</v>
      </c>
      <c r="K411" s="3">
        <v>30.6</v>
      </c>
      <c r="L411" s="3">
        <v>0</v>
      </c>
      <c r="M411" s="3">
        <v>0</v>
      </c>
      <c r="N411" s="3">
        <v>0</v>
      </c>
      <c r="O411" s="3">
        <v>3.9780000000000002</v>
      </c>
      <c r="P411" s="3">
        <v>34.578000000000003</v>
      </c>
      <c r="Q411">
        <v>3</v>
      </c>
    </row>
    <row r="412" spans="1:17" x14ac:dyDescent="0.25">
      <c r="A412" t="s">
        <v>701</v>
      </c>
      <c r="B412" t="s">
        <v>725</v>
      </c>
      <c r="C412" t="s">
        <v>1</v>
      </c>
      <c r="D412" t="s">
        <v>0</v>
      </c>
      <c r="E412">
        <v>172679</v>
      </c>
      <c r="F412" t="s">
        <v>425</v>
      </c>
      <c r="G412" t="s">
        <v>426</v>
      </c>
      <c r="H412" s="3">
        <v>5.16</v>
      </c>
      <c r="I412" s="3">
        <v>0</v>
      </c>
      <c r="J412" s="3">
        <v>0</v>
      </c>
      <c r="K412" s="3">
        <v>55.46</v>
      </c>
      <c r="L412" s="3">
        <v>0</v>
      </c>
      <c r="M412" s="3">
        <v>0</v>
      </c>
      <c r="N412" s="3">
        <v>0</v>
      </c>
      <c r="O412" s="3">
        <v>7.2098000000000004</v>
      </c>
      <c r="P412" s="3">
        <v>67.829800000000006</v>
      </c>
      <c r="Q412">
        <v>3</v>
      </c>
    </row>
    <row r="413" spans="1:17" x14ac:dyDescent="0.25">
      <c r="A413" t="s">
        <v>701</v>
      </c>
      <c r="B413" t="s">
        <v>721</v>
      </c>
      <c r="C413" t="s">
        <v>1</v>
      </c>
      <c r="D413" t="s">
        <v>0</v>
      </c>
      <c r="E413">
        <v>1698</v>
      </c>
      <c r="F413" t="s">
        <v>475</v>
      </c>
      <c r="G413" t="s">
        <v>476</v>
      </c>
      <c r="H413" s="3">
        <v>0</v>
      </c>
      <c r="I413" s="3">
        <v>0</v>
      </c>
      <c r="J413" s="3">
        <v>0</v>
      </c>
      <c r="K413" s="3">
        <v>28.08</v>
      </c>
      <c r="L413" s="3">
        <v>0</v>
      </c>
      <c r="M413" s="3">
        <v>0</v>
      </c>
      <c r="N413" s="3">
        <v>0</v>
      </c>
      <c r="O413" s="3">
        <v>3.6503999999999999</v>
      </c>
      <c r="P413" s="3">
        <v>31.730399999999999</v>
      </c>
      <c r="Q413">
        <v>3</v>
      </c>
    </row>
    <row r="414" spans="1:17" x14ac:dyDescent="0.25">
      <c r="A414" t="s">
        <v>701</v>
      </c>
      <c r="B414" t="s">
        <v>721</v>
      </c>
      <c r="C414" t="s">
        <v>1</v>
      </c>
      <c r="D414" t="s">
        <v>0</v>
      </c>
      <c r="E414">
        <v>1704</v>
      </c>
      <c r="F414" t="s">
        <v>475</v>
      </c>
      <c r="G414" t="s">
        <v>476</v>
      </c>
      <c r="H414" s="3">
        <v>0</v>
      </c>
      <c r="I414" s="3">
        <v>0</v>
      </c>
      <c r="J414" s="3">
        <v>0</v>
      </c>
      <c r="K414" s="3">
        <v>56.26</v>
      </c>
      <c r="L414" s="3">
        <v>0</v>
      </c>
      <c r="M414" s="3">
        <v>0</v>
      </c>
      <c r="N414" s="3">
        <v>0</v>
      </c>
      <c r="O414" s="3">
        <v>7.3137999999999996</v>
      </c>
      <c r="P414" s="3">
        <v>63.573799999999999</v>
      </c>
      <c r="Q414">
        <v>3</v>
      </c>
    </row>
    <row r="415" spans="1:17" x14ac:dyDescent="0.25">
      <c r="A415" t="s">
        <v>701</v>
      </c>
      <c r="B415" t="s">
        <v>721</v>
      </c>
      <c r="C415" t="s">
        <v>1</v>
      </c>
      <c r="D415" t="s">
        <v>0</v>
      </c>
      <c r="E415">
        <v>1699</v>
      </c>
      <c r="F415" t="s">
        <v>475</v>
      </c>
      <c r="G415" t="s">
        <v>476</v>
      </c>
      <c r="H415" s="3">
        <v>0</v>
      </c>
      <c r="I415" s="3">
        <v>0</v>
      </c>
      <c r="J415" s="3">
        <v>0</v>
      </c>
      <c r="K415" s="3">
        <v>28.08</v>
      </c>
      <c r="L415" s="3">
        <v>0</v>
      </c>
      <c r="M415" s="3">
        <v>0</v>
      </c>
      <c r="N415" s="3">
        <v>0</v>
      </c>
      <c r="O415" s="3">
        <v>3.6503999999999999</v>
      </c>
      <c r="P415" s="3">
        <v>31.730399999999999</v>
      </c>
      <c r="Q415">
        <v>3</v>
      </c>
    </row>
    <row r="416" spans="1:17" x14ac:dyDescent="0.25">
      <c r="A416" t="s">
        <v>701</v>
      </c>
      <c r="B416" t="s">
        <v>721</v>
      </c>
      <c r="C416" t="s">
        <v>1</v>
      </c>
      <c r="D416" t="s">
        <v>0</v>
      </c>
      <c r="E416">
        <v>1181</v>
      </c>
      <c r="F416" t="s">
        <v>479</v>
      </c>
      <c r="G416" t="s">
        <v>480</v>
      </c>
      <c r="H416" s="3">
        <v>0</v>
      </c>
      <c r="I416" s="3">
        <v>0</v>
      </c>
      <c r="J416" s="3">
        <v>0</v>
      </c>
      <c r="K416" s="3">
        <v>318.58</v>
      </c>
      <c r="L416" s="3">
        <v>0</v>
      </c>
      <c r="M416" s="3">
        <v>0</v>
      </c>
      <c r="N416" s="3">
        <v>0</v>
      </c>
      <c r="O416" s="3">
        <v>41.415399999999998</v>
      </c>
      <c r="P416" s="3">
        <v>359.99539999999996</v>
      </c>
      <c r="Q416">
        <v>3</v>
      </c>
    </row>
    <row r="417" spans="1:17" x14ac:dyDescent="0.25">
      <c r="A417" t="s">
        <v>701</v>
      </c>
      <c r="B417" t="s">
        <v>721</v>
      </c>
      <c r="C417" t="s">
        <v>1</v>
      </c>
      <c r="D417" t="s">
        <v>0</v>
      </c>
      <c r="E417">
        <v>61813</v>
      </c>
      <c r="F417" t="s">
        <v>418</v>
      </c>
      <c r="G417" t="s">
        <v>419</v>
      </c>
      <c r="H417" s="3">
        <v>10.53</v>
      </c>
      <c r="I417" s="3">
        <v>0</v>
      </c>
      <c r="J417" s="3">
        <v>0</v>
      </c>
      <c r="K417" s="3">
        <v>103.08</v>
      </c>
      <c r="L417" s="3">
        <v>0</v>
      </c>
      <c r="M417" s="3">
        <v>0</v>
      </c>
      <c r="N417" s="3">
        <v>0</v>
      </c>
      <c r="O417" s="3">
        <v>13.400399999999999</v>
      </c>
      <c r="P417" s="3">
        <v>127.0104</v>
      </c>
      <c r="Q417">
        <v>3</v>
      </c>
    </row>
    <row r="418" spans="1:17" x14ac:dyDescent="0.25">
      <c r="A418" t="s">
        <v>701</v>
      </c>
      <c r="B418" t="s">
        <v>722</v>
      </c>
      <c r="C418" t="s">
        <v>1</v>
      </c>
      <c r="D418" t="s">
        <v>0</v>
      </c>
      <c r="E418">
        <v>1711</v>
      </c>
      <c r="F418" t="s">
        <v>475</v>
      </c>
      <c r="G418" t="s">
        <v>476</v>
      </c>
      <c r="H418" s="3">
        <v>0</v>
      </c>
      <c r="I418" s="3">
        <v>0</v>
      </c>
      <c r="J418" s="3">
        <v>0</v>
      </c>
      <c r="K418" s="3">
        <v>44.64</v>
      </c>
      <c r="L418" s="3">
        <v>0</v>
      </c>
      <c r="M418" s="3">
        <v>0</v>
      </c>
      <c r="N418" s="3">
        <v>0</v>
      </c>
      <c r="O418" s="3">
        <v>5.8032000000000004</v>
      </c>
      <c r="P418" s="3">
        <v>50.443200000000004</v>
      </c>
      <c r="Q418">
        <v>3</v>
      </c>
    </row>
    <row r="419" spans="1:17" x14ac:dyDescent="0.25">
      <c r="A419" t="s">
        <v>701</v>
      </c>
      <c r="B419" t="s">
        <v>722</v>
      </c>
      <c r="C419" t="s">
        <v>1</v>
      </c>
      <c r="D419" t="s">
        <v>0</v>
      </c>
      <c r="E419">
        <v>663277</v>
      </c>
      <c r="F419" t="s">
        <v>103</v>
      </c>
      <c r="G419" t="s">
        <v>104</v>
      </c>
      <c r="H419" s="3">
        <v>0</v>
      </c>
      <c r="I419" s="3">
        <v>0</v>
      </c>
      <c r="J419" s="3">
        <v>0</v>
      </c>
      <c r="K419" s="3">
        <v>21.54</v>
      </c>
      <c r="L419" s="3">
        <v>0</v>
      </c>
      <c r="M419" s="3">
        <v>0</v>
      </c>
      <c r="N419" s="3">
        <v>0</v>
      </c>
      <c r="O419" s="3">
        <v>2.8001999999999998</v>
      </c>
      <c r="P419" s="3">
        <v>24.340199999999999</v>
      </c>
      <c r="Q419">
        <v>3</v>
      </c>
    </row>
    <row r="420" spans="1:17" x14ac:dyDescent="0.25">
      <c r="A420" t="s">
        <v>701</v>
      </c>
      <c r="B420" t="s">
        <v>722</v>
      </c>
      <c r="C420" t="s">
        <v>1</v>
      </c>
      <c r="D420" t="s">
        <v>0</v>
      </c>
      <c r="E420">
        <v>172934</v>
      </c>
      <c r="F420" t="s">
        <v>425</v>
      </c>
      <c r="G420" t="s">
        <v>426</v>
      </c>
      <c r="H420" s="3">
        <v>3.63</v>
      </c>
      <c r="I420" s="3">
        <v>0</v>
      </c>
      <c r="J420" s="3">
        <v>0</v>
      </c>
      <c r="K420" s="3">
        <v>35.479999999999997</v>
      </c>
      <c r="L420" s="3">
        <v>0</v>
      </c>
      <c r="M420" s="3">
        <v>0</v>
      </c>
      <c r="N420" s="3">
        <v>0</v>
      </c>
      <c r="O420" s="3">
        <v>4.6124000000000001</v>
      </c>
      <c r="P420" s="3">
        <v>43.7224</v>
      </c>
      <c r="Q420">
        <v>3</v>
      </c>
    </row>
    <row r="421" spans="1:17" x14ac:dyDescent="0.25">
      <c r="A421" t="s">
        <v>701</v>
      </c>
      <c r="B421" t="s">
        <v>722</v>
      </c>
      <c r="C421" t="s">
        <v>1</v>
      </c>
      <c r="D421" t="s">
        <v>0</v>
      </c>
      <c r="E421">
        <v>62008</v>
      </c>
      <c r="F421" t="s">
        <v>418</v>
      </c>
      <c r="G421" t="s">
        <v>419</v>
      </c>
      <c r="H421" s="3">
        <v>8.370000000000001</v>
      </c>
      <c r="I421" s="3">
        <v>0</v>
      </c>
      <c r="J421" s="3">
        <v>0</v>
      </c>
      <c r="K421" s="3">
        <v>81.97</v>
      </c>
      <c r="L421" s="3">
        <v>0</v>
      </c>
      <c r="M421" s="3">
        <v>0</v>
      </c>
      <c r="N421" s="3">
        <v>0</v>
      </c>
      <c r="O421" s="3">
        <v>10.6561</v>
      </c>
      <c r="P421" s="3">
        <v>100.9961</v>
      </c>
      <c r="Q421">
        <v>3</v>
      </c>
    </row>
    <row r="422" spans="1:17" x14ac:dyDescent="0.25">
      <c r="A422" t="s">
        <v>701</v>
      </c>
      <c r="B422" t="s">
        <v>722</v>
      </c>
      <c r="C422" t="s">
        <v>1</v>
      </c>
      <c r="D422" t="s">
        <v>0</v>
      </c>
      <c r="E422">
        <v>61900</v>
      </c>
      <c r="F422" t="s">
        <v>418</v>
      </c>
      <c r="G422" t="s">
        <v>419</v>
      </c>
      <c r="H422" s="3">
        <v>3</v>
      </c>
      <c r="I422" s="3">
        <v>0</v>
      </c>
      <c r="J422" s="3">
        <v>0</v>
      </c>
      <c r="K422" s="3">
        <v>32.74</v>
      </c>
      <c r="L422" s="3">
        <v>0</v>
      </c>
      <c r="M422" s="3">
        <v>0</v>
      </c>
      <c r="N422" s="3">
        <v>0</v>
      </c>
      <c r="O422" s="3">
        <v>4.2562000000000006</v>
      </c>
      <c r="P422" s="3">
        <v>39.996200000000002</v>
      </c>
      <c r="Q422">
        <v>3</v>
      </c>
    </row>
    <row r="423" spans="1:17" x14ac:dyDescent="0.25">
      <c r="A423" t="s">
        <v>701</v>
      </c>
      <c r="B423" t="s">
        <v>728</v>
      </c>
      <c r="C423" t="s">
        <v>1</v>
      </c>
      <c r="D423" t="s">
        <v>0</v>
      </c>
      <c r="E423">
        <v>215726</v>
      </c>
      <c r="F423" t="s">
        <v>440</v>
      </c>
      <c r="G423" t="s">
        <v>441</v>
      </c>
      <c r="H423" s="3">
        <v>3.09</v>
      </c>
      <c r="I423" s="3">
        <v>0</v>
      </c>
      <c r="J423" s="3">
        <v>0</v>
      </c>
      <c r="K423" s="3">
        <v>30.01</v>
      </c>
      <c r="L423" s="3">
        <v>0</v>
      </c>
      <c r="M423" s="3">
        <v>0</v>
      </c>
      <c r="N423" s="3">
        <v>0</v>
      </c>
      <c r="O423" s="3">
        <v>3.9013000000000004</v>
      </c>
      <c r="P423" s="3">
        <v>37.001300000000001</v>
      </c>
      <c r="Q423">
        <v>3</v>
      </c>
    </row>
    <row r="424" spans="1:17" x14ac:dyDescent="0.25">
      <c r="A424" t="s">
        <v>701</v>
      </c>
      <c r="B424" t="s">
        <v>723</v>
      </c>
      <c r="C424" t="s">
        <v>1</v>
      </c>
      <c r="D424" t="s">
        <v>0</v>
      </c>
      <c r="E424">
        <v>1724</v>
      </c>
      <c r="F424" t="s">
        <v>475</v>
      </c>
      <c r="G424" t="s">
        <v>476</v>
      </c>
      <c r="H424" s="3">
        <v>0</v>
      </c>
      <c r="I424" s="3">
        <v>0</v>
      </c>
      <c r="J424" s="3">
        <v>0</v>
      </c>
      <c r="K424" s="3">
        <v>56.26</v>
      </c>
      <c r="L424" s="3">
        <v>0</v>
      </c>
      <c r="M424" s="3">
        <v>0</v>
      </c>
      <c r="N424" s="3">
        <v>0</v>
      </c>
      <c r="O424" s="3">
        <v>7.3137999999999996</v>
      </c>
      <c r="P424" s="3">
        <v>63.573799999999999</v>
      </c>
      <c r="Q424">
        <v>3</v>
      </c>
    </row>
    <row r="425" spans="1:17" x14ac:dyDescent="0.25">
      <c r="A425" t="s">
        <v>701</v>
      </c>
      <c r="B425" t="s">
        <v>723</v>
      </c>
      <c r="C425" t="s">
        <v>1</v>
      </c>
      <c r="D425" t="s">
        <v>0</v>
      </c>
      <c r="E425">
        <v>21582</v>
      </c>
      <c r="F425" t="s">
        <v>448</v>
      </c>
      <c r="G425" t="s">
        <v>449</v>
      </c>
      <c r="H425" s="3">
        <v>8.34</v>
      </c>
      <c r="I425" s="3">
        <v>0</v>
      </c>
      <c r="J425" s="3">
        <v>0</v>
      </c>
      <c r="K425" s="3">
        <v>81.12</v>
      </c>
      <c r="L425" s="3">
        <v>0</v>
      </c>
      <c r="M425" s="3">
        <v>0</v>
      </c>
      <c r="N425" s="3">
        <v>0</v>
      </c>
      <c r="O425" s="3">
        <v>10.5456</v>
      </c>
      <c r="P425" s="3">
        <v>100.00560000000002</v>
      </c>
      <c r="Q425">
        <v>3</v>
      </c>
    </row>
    <row r="426" spans="1:17" x14ac:dyDescent="0.25">
      <c r="A426" t="s">
        <v>701</v>
      </c>
      <c r="B426" t="s">
        <v>723</v>
      </c>
      <c r="C426" t="s">
        <v>1</v>
      </c>
      <c r="D426" t="s">
        <v>0</v>
      </c>
      <c r="E426">
        <v>173205</v>
      </c>
      <c r="F426" t="s">
        <v>425</v>
      </c>
      <c r="G426" t="s">
        <v>426</v>
      </c>
      <c r="H426" s="3">
        <v>5</v>
      </c>
      <c r="I426" s="3">
        <v>0</v>
      </c>
      <c r="J426" s="3">
        <v>0</v>
      </c>
      <c r="K426" s="3">
        <v>49.05</v>
      </c>
      <c r="L426" s="3">
        <v>0</v>
      </c>
      <c r="M426" s="3">
        <v>0</v>
      </c>
      <c r="N426" s="3">
        <v>0</v>
      </c>
      <c r="O426" s="3">
        <v>6.3765000000000001</v>
      </c>
      <c r="P426" s="3">
        <v>60.426499999999997</v>
      </c>
      <c r="Q426">
        <v>3</v>
      </c>
    </row>
    <row r="427" spans="1:17" x14ac:dyDescent="0.25">
      <c r="A427" t="s">
        <v>701</v>
      </c>
      <c r="B427" t="s">
        <v>723</v>
      </c>
      <c r="C427" t="s">
        <v>1</v>
      </c>
      <c r="D427" t="s">
        <v>0</v>
      </c>
      <c r="E427">
        <v>62446</v>
      </c>
      <c r="F427" t="s">
        <v>418</v>
      </c>
      <c r="G427" t="s">
        <v>419</v>
      </c>
      <c r="H427" s="3">
        <v>11.14</v>
      </c>
      <c r="I427" s="3">
        <v>0</v>
      </c>
      <c r="J427" s="3">
        <v>0</v>
      </c>
      <c r="K427" s="3">
        <v>109.1</v>
      </c>
      <c r="L427" s="3">
        <v>0</v>
      </c>
      <c r="M427" s="3">
        <v>0</v>
      </c>
      <c r="N427" s="3">
        <v>0</v>
      </c>
      <c r="O427" s="3">
        <v>14.183</v>
      </c>
      <c r="P427" s="3">
        <v>134.423</v>
      </c>
      <c r="Q427">
        <v>3</v>
      </c>
    </row>
    <row r="428" spans="1:17" x14ac:dyDescent="0.25">
      <c r="A428" t="s">
        <v>701</v>
      </c>
      <c r="B428" t="s">
        <v>648</v>
      </c>
      <c r="C428" t="s">
        <v>1</v>
      </c>
      <c r="D428" t="s">
        <v>0</v>
      </c>
      <c r="E428">
        <v>118525</v>
      </c>
      <c r="F428" t="s">
        <v>491</v>
      </c>
      <c r="G428" t="s">
        <v>492</v>
      </c>
      <c r="H428" s="3">
        <v>0</v>
      </c>
      <c r="I428" s="3">
        <v>0</v>
      </c>
      <c r="J428" s="3">
        <v>0</v>
      </c>
      <c r="K428" s="3">
        <v>218.6</v>
      </c>
      <c r="L428" s="3">
        <v>0</v>
      </c>
      <c r="M428" s="3">
        <v>0</v>
      </c>
      <c r="N428" s="3">
        <v>0</v>
      </c>
      <c r="O428" s="3">
        <v>28.417999999999999</v>
      </c>
      <c r="P428" s="3">
        <v>247.018</v>
      </c>
      <c r="Q428">
        <v>3</v>
      </c>
    </row>
    <row r="429" spans="1:17" x14ac:dyDescent="0.25">
      <c r="A429" t="s">
        <v>701</v>
      </c>
      <c r="B429" t="s">
        <v>648</v>
      </c>
      <c r="C429" t="s">
        <v>1</v>
      </c>
      <c r="D429" t="s">
        <v>0</v>
      </c>
      <c r="E429">
        <v>207516</v>
      </c>
      <c r="F429" t="s">
        <v>440</v>
      </c>
      <c r="G429" t="s">
        <v>441</v>
      </c>
      <c r="H429" s="3">
        <v>8.3000000000000007</v>
      </c>
      <c r="I429" s="3">
        <v>0</v>
      </c>
      <c r="J429" s="3">
        <v>0</v>
      </c>
      <c r="K429" s="3">
        <v>77.510000000000005</v>
      </c>
      <c r="L429" s="3">
        <v>0</v>
      </c>
      <c r="M429" s="3">
        <v>0</v>
      </c>
      <c r="N429" s="3">
        <v>0</v>
      </c>
      <c r="O429" s="3">
        <v>10.076300000000002</v>
      </c>
      <c r="P429" s="3">
        <v>95.886300000000006</v>
      </c>
      <c r="Q429">
        <v>3</v>
      </c>
    </row>
    <row r="430" spans="1:17" x14ac:dyDescent="0.25">
      <c r="A430" t="s">
        <v>701</v>
      </c>
      <c r="B430" t="s">
        <v>724</v>
      </c>
      <c r="C430" t="s">
        <v>1</v>
      </c>
      <c r="D430" t="s">
        <v>0</v>
      </c>
      <c r="E430">
        <v>1738</v>
      </c>
      <c r="F430" t="s">
        <v>475</v>
      </c>
      <c r="G430" t="s">
        <v>476</v>
      </c>
      <c r="H430" s="3">
        <v>0</v>
      </c>
      <c r="I430" s="3">
        <v>0</v>
      </c>
      <c r="J430" s="3">
        <v>0</v>
      </c>
      <c r="K430" s="3">
        <v>28.08</v>
      </c>
      <c r="L430" s="3">
        <v>0</v>
      </c>
      <c r="M430" s="3">
        <v>0</v>
      </c>
      <c r="N430" s="3">
        <v>0</v>
      </c>
      <c r="O430" s="3">
        <v>3.6503999999999999</v>
      </c>
      <c r="P430" s="3">
        <v>31.730399999999999</v>
      </c>
      <c r="Q430">
        <v>3</v>
      </c>
    </row>
    <row r="431" spans="1:17" x14ac:dyDescent="0.25">
      <c r="A431" t="s">
        <v>701</v>
      </c>
      <c r="B431" t="s">
        <v>724</v>
      </c>
      <c r="C431" t="s">
        <v>1</v>
      </c>
      <c r="D431" t="s">
        <v>0</v>
      </c>
      <c r="E431">
        <v>1739</v>
      </c>
      <c r="F431" t="s">
        <v>475</v>
      </c>
      <c r="G431" t="s">
        <v>476</v>
      </c>
      <c r="H431" s="3">
        <v>0</v>
      </c>
      <c r="I431" s="3">
        <v>0</v>
      </c>
      <c r="J431" s="3">
        <v>0</v>
      </c>
      <c r="K431" s="3">
        <v>56.26</v>
      </c>
      <c r="L431" s="3">
        <v>0</v>
      </c>
      <c r="M431" s="3">
        <v>0</v>
      </c>
      <c r="N431" s="3">
        <v>0</v>
      </c>
      <c r="O431" s="3">
        <v>7.3137999999999996</v>
      </c>
      <c r="P431" s="3">
        <v>63.573799999999999</v>
      </c>
      <c r="Q431">
        <v>3</v>
      </c>
    </row>
    <row r="432" spans="1:17" x14ac:dyDescent="0.25">
      <c r="A432" t="s">
        <v>701</v>
      </c>
      <c r="B432" t="s">
        <v>724</v>
      </c>
      <c r="C432" t="s">
        <v>1</v>
      </c>
      <c r="D432" t="s">
        <v>0</v>
      </c>
      <c r="E432">
        <v>1735</v>
      </c>
      <c r="F432" t="s">
        <v>475</v>
      </c>
      <c r="G432" t="s">
        <v>476</v>
      </c>
      <c r="H432" s="3">
        <v>0</v>
      </c>
      <c r="I432" s="3">
        <v>0</v>
      </c>
      <c r="J432" s="3">
        <v>0</v>
      </c>
      <c r="K432" s="3">
        <v>58.12</v>
      </c>
      <c r="L432" s="3">
        <v>0</v>
      </c>
      <c r="M432" s="3">
        <v>0</v>
      </c>
      <c r="N432" s="3">
        <v>0</v>
      </c>
      <c r="O432" s="3">
        <v>7.5556000000000001</v>
      </c>
      <c r="P432" s="3">
        <v>65.675600000000003</v>
      </c>
      <c r="Q432">
        <v>3</v>
      </c>
    </row>
    <row r="433" spans="1:17" x14ac:dyDescent="0.25">
      <c r="A433" t="s">
        <v>701</v>
      </c>
      <c r="B433" t="s">
        <v>724</v>
      </c>
      <c r="C433" t="s">
        <v>1</v>
      </c>
      <c r="D433" t="s">
        <v>0</v>
      </c>
      <c r="E433">
        <v>1736</v>
      </c>
      <c r="F433" t="s">
        <v>475</v>
      </c>
      <c r="G433" t="s">
        <v>476</v>
      </c>
      <c r="H433" s="3">
        <v>0</v>
      </c>
      <c r="I433" s="3">
        <v>0</v>
      </c>
      <c r="J433" s="3">
        <v>0</v>
      </c>
      <c r="K433" s="3">
        <v>40.71</v>
      </c>
      <c r="L433" s="3">
        <v>0</v>
      </c>
      <c r="M433" s="3">
        <v>0</v>
      </c>
      <c r="N433" s="3">
        <v>0</v>
      </c>
      <c r="O433" s="3">
        <v>5.2923</v>
      </c>
      <c r="P433" s="3">
        <v>46.002299999999998</v>
      </c>
      <c r="Q433">
        <v>3</v>
      </c>
    </row>
    <row r="434" spans="1:17" x14ac:dyDescent="0.25">
      <c r="A434" t="s">
        <v>701</v>
      </c>
      <c r="B434" t="s">
        <v>724</v>
      </c>
      <c r="C434" t="s">
        <v>1</v>
      </c>
      <c r="D434" t="s">
        <v>0</v>
      </c>
      <c r="E434">
        <v>16156</v>
      </c>
      <c r="F434" t="s">
        <v>453</v>
      </c>
      <c r="G434" t="s">
        <v>454</v>
      </c>
      <c r="H434" s="3">
        <v>0</v>
      </c>
      <c r="I434" s="3">
        <v>0</v>
      </c>
      <c r="J434" s="3">
        <v>0</v>
      </c>
      <c r="K434" s="3">
        <v>90</v>
      </c>
      <c r="L434" s="3">
        <v>0</v>
      </c>
      <c r="M434" s="3">
        <v>0</v>
      </c>
      <c r="N434" s="3">
        <v>0</v>
      </c>
      <c r="O434" s="3">
        <v>11.700000000000001</v>
      </c>
      <c r="P434" s="3">
        <v>101.7</v>
      </c>
      <c r="Q434">
        <v>3</v>
      </c>
    </row>
    <row r="435" spans="1:17" x14ac:dyDescent="0.25">
      <c r="A435" t="s">
        <v>701</v>
      </c>
      <c r="B435" t="s">
        <v>724</v>
      </c>
      <c r="C435" t="s">
        <v>1</v>
      </c>
      <c r="D435" t="s">
        <v>0</v>
      </c>
      <c r="E435">
        <v>7401</v>
      </c>
      <c r="F435" t="s">
        <v>264</v>
      </c>
      <c r="G435" t="s">
        <v>549</v>
      </c>
      <c r="H435" s="3">
        <v>0</v>
      </c>
      <c r="I435" s="3">
        <v>0</v>
      </c>
      <c r="J435" s="3">
        <v>0</v>
      </c>
      <c r="K435" s="3">
        <v>6.5</v>
      </c>
      <c r="L435" s="3">
        <v>0</v>
      </c>
      <c r="M435" s="3">
        <v>0</v>
      </c>
      <c r="N435" s="3">
        <v>0</v>
      </c>
      <c r="O435" s="3">
        <v>0.84499999999999997</v>
      </c>
      <c r="P435" s="3">
        <v>7.3449999999999998</v>
      </c>
      <c r="Q435">
        <v>3</v>
      </c>
    </row>
    <row r="436" spans="1:17" x14ac:dyDescent="0.25">
      <c r="A436" t="s">
        <v>701</v>
      </c>
      <c r="B436" t="s">
        <v>724</v>
      </c>
      <c r="C436" t="s">
        <v>1</v>
      </c>
      <c r="D436" t="s">
        <v>0</v>
      </c>
      <c r="E436">
        <v>173439</v>
      </c>
      <c r="F436" t="s">
        <v>425</v>
      </c>
      <c r="G436" t="s">
        <v>426</v>
      </c>
      <c r="H436" s="3">
        <v>4.74</v>
      </c>
      <c r="I436" s="3">
        <v>0</v>
      </c>
      <c r="J436" s="3">
        <v>0</v>
      </c>
      <c r="K436" s="3">
        <v>45.11</v>
      </c>
      <c r="L436" s="3">
        <v>0</v>
      </c>
      <c r="M436" s="3">
        <v>0</v>
      </c>
      <c r="N436" s="3">
        <v>0</v>
      </c>
      <c r="O436" s="3">
        <v>5.8643000000000001</v>
      </c>
      <c r="P436" s="3">
        <v>55.714300000000001</v>
      </c>
      <c r="Q436">
        <v>3</v>
      </c>
    </row>
    <row r="437" spans="1:17" x14ac:dyDescent="0.25">
      <c r="A437" t="s">
        <v>701</v>
      </c>
      <c r="B437" t="s">
        <v>724</v>
      </c>
      <c r="C437" t="s">
        <v>1</v>
      </c>
      <c r="D437" t="s">
        <v>0</v>
      </c>
      <c r="E437">
        <v>62774</v>
      </c>
      <c r="F437" t="s">
        <v>418</v>
      </c>
      <c r="G437" t="s">
        <v>419</v>
      </c>
      <c r="H437" s="3">
        <v>13.25</v>
      </c>
      <c r="I437" s="3">
        <v>0</v>
      </c>
      <c r="J437" s="3">
        <v>0</v>
      </c>
      <c r="K437" s="3">
        <v>125.85</v>
      </c>
      <c r="L437" s="3">
        <v>0</v>
      </c>
      <c r="M437" s="3">
        <v>0</v>
      </c>
      <c r="N437" s="3">
        <v>0</v>
      </c>
      <c r="O437" s="3">
        <v>16.360499999999998</v>
      </c>
      <c r="P437" s="3">
        <v>155.4605</v>
      </c>
      <c r="Q437">
        <v>3</v>
      </c>
    </row>
    <row r="438" spans="1:17" x14ac:dyDescent="0.25">
      <c r="A438" t="s">
        <v>701</v>
      </c>
      <c r="B438" t="s">
        <v>633</v>
      </c>
      <c r="C438" t="s">
        <v>1</v>
      </c>
      <c r="D438" t="s">
        <v>0</v>
      </c>
      <c r="E438">
        <v>3688582</v>
      </c>
      <c r="F438" t="s">
        <v>433</v>
      </c>
      <c r="G438" t="s">
        <v>434</v>
      </c>
      <c r="H438" s="3">
        <v>0</v>
      </c>
      <c r="I438" s="3">
        <v>0</v>
      </c>
      <c r="J438" s="3">
        <v>0</v>
      </c>
      <c r="K438" s="3">
        <v>75.63</v>
      </c>
      <c r="L438" s="3">
        <v>0</v>
      </c>
      <c r="M438" s="3">
        <v>0</v>
      </c>
      <c r="N438" s="3">
        <v>0</v>
      </c>
      <c r="O438" s="3">
        <v>9.8318999999999992</v>
      </c>
      <c r="P438" s="3">
        <v>85.4619</v>
      </c>
      <c r="Q438">
        <v>3</v>
      </c>
    </row>
    <row r="439" spans="1:17" x14ac:dyDescent="0.25">
      <c r="A439" t="s">
        <v>567</v>
      </c>
      <c r="B439" t="s">
        <v>647</v>
      </c>
      <c r="C439" t="s">
        <v>1</v>
      </c>
      <c r="D439" t="s">
        <v>0</v>
      </c>
      <c r="E439">
        <v>476</v>
      </c>
      <c r="F439" t="s">
        <v>475</v>
      </c>
      <c r="G439" t="s">
        <v>476</v>
      </c>
      <c r="H439" s="3">
        <v>0</v>
      </c>
      <c r="I439" s="3">
        <v>0</v>
      </c>
      <c r="J439" s="3">
        <v>0</v>
      </c>
      <c r="K439" s="3">
        <v>56.26</v>
      </c>
      <c r="L439" s="3">
        <v>0</v>
      </c>
      <c r="M439" s="3">
        <v>0</v>
      </c>
      <c r="N439" s="3">
        <v>0</v>
      </c>
      <c r="O439" s="3">
        <v>7.3137999999999996</v>
      </c>
      <c r="P439" s="3">
        <v>63.573799999999999</v>
      </c>
      <c r="Q439">
        <v>3</v>
      </c>
    </row>
    <row r="440" spans="1:17" x14ac:dyDescent="0.25">
      <c r="A440" t="s">
        <v>567</v>
      </c>
      <c r="B440" t="s">
        <v>647</v>
      </c>
      <c r="C440" t="s">
        <v>1</v>
      </c>
      <c r="D440" t="s">
        <v>0</v>
      </c>
      <c r="E440">
        <v>472</v>
      </c>
      <c r="F440" t="s">
        <v>475</v>
      </c>
      <c r="G440" t="s">
        <v>476</v>
      </c>
      <c r="H440" s="3">
        <v>0</v>
      </c>
      <c r="I440" s="3">
        <v>0</v>
      </c>
      <c r="J440" s="3">
        <v>0</v>
      </c>
      <c r="K440" s="3">
        <v>28.64</v>
      </c>
      <c r="L440" s="3">
        <v>0</v>
      </c>
      <c r="M440" s="3">
        <v>0</v>
      </c>
      <c r="N440" s="3">
        <v>0</v>
      </c>
      <c r="O440" s="3">
        <v>3.7232000000000003</v>
      </c>
      <c r="P440" s="3">
        <v>32.363199999999999</v>
      </c>
      <c r="Q440">
        <v>3</v>
      </c>
    </row>
    <row r="441" spans="1:17" x14ac:dyDescent="0.25">
      <c r="A441" t="s">
        <v>567</v>
      </c>
      <c r="B441" t="s">
        <v>647</v>
      </c>
      <c r="C441" t="s">
        <v>1</v>
      </c>
      <c r="D441" t="s">
        <v>0</v>
      </c>
      <c r="E441">
        <v>76753</v>
      </c>
      <c r="F441" t="s">
        <v>440</v>
      </c>
      <c r="G441" t="s">
        <v>441</v>
      </c>
      <c r="H441" s="3">
        <v>14.02</v>
      </c>
      <c r="I441" s="3">
        <v>0</v>
      </c>
      <c r="J441" s="3">
        <v>0</v>
      </c>
      <c r="K441" s="3">
        <v>120.34</v>
      </c>
      <c r="L441" s="3">
        <v>0</v>
      </c>
      <c r="M441" s="3">
        <v>0</v>
      </c>
      <c r="N441" s="3">
        <v>0</v>
      </c>
      <c r="O441" s="3">
        <v>15.644200000000001</v>
      </c>
      <c r="P441" s="3">
        <v>150.00420000000003</v>
      </c>
      <c r="Q441">
        <v>3</v>
      </c>
    </row>
    <row r="442" spans="1:17" x14ac:dyDescent="0.25">
      <c r="A442" t="s">
        <v>567</v>
      </c>
      <c r="B442" t="s">
        <v>647</v>
      </c>
      <c r="C442" t="s">
        <v>1</v>
      </c>
      <c r="D442" t="s">
        <v>0</v>
      </c>
      <c r="E442">
        <v>556261</v>
      </c>
      <c r="F442" t="s">
        <v>440</v>
      </c>
      <c r="G442" t="s">
        <v>441</v>
      </c>
      <c r="H442" s="3">
        <v>7.4700000000000006</v>
      </c>
      <c r="I442" s="3">
        <v>0</v>
      </c>
      <c r="J442" s="3">
        <v>0</v>
      </c>
      <c r="K442" s="3">
        <v>64.180000000000007</v>
      </c>
      <c r="L442" s="3">
        <v>0</v>
      </c>
      <c r="M442" s="3">
        <v>0</v>
      </c>
      <c r="N442" s="3">
        <v>0</v>
      </c>
      <c r="O442" s="3">
        <v>8.3434000000000008</v>
      </c>
      <c r="P442" s="3">
        <v>79.993400000000008</v>
      </c>
      <c r="Q442">
        <v>3</v>
      </c>
    </row>
    <row r="443" spans="1:17" x14ac:dyDescent="0.25">
      <c r="A443" t="s">
        <v>567</v>
      </c>
      <c r="B443" t="s">
        <v>647</v>
      </c>
      <c r="C443" t="s">
        <v>1</v>
      </c>
      <c r="D443" t="s">
        <v>0</v>
      </c>
      <c r="E443">
        <v>164863</v>
      </c>
      <c r="F443" t="s">
        <v>425</v>
      </c>
      <c r="G443" t="s">
        <v>426</v>
      </c>
      <c r="H443" s="3">
        <v>3.0300000000000002</v>
      </c>
      <c r="I443" s="3">
        <v>0</v>
      </c>
      <c r="J443" s="3">
        <v>0</v>
      </c>
      <c r="K443" s="3">
        <v>26.23</v>
      </c>
      <c r="L443" s="3">
        <v>0</v>
      </c>
      <c r="M443" s="3">
        <v>0</v>
      </c>
      <c r="N443" s="3">
        <v>0</v>
      </c>
      <c r="O443" s="3">
        <v>3.4099000000000004</v>
      </c>
      <c r="P443" s="3">
        <v>32.669899999999998</v>
      </c>
      <c r="Q443">
        <v>3</v>
      </c>
    </row>
    <row r="444" spans="1:17" x14ac:dyDescent="0.25">
      <c r="A444" t="s">
        <v>567</v>
      </c>
      <c r="B444" t="s">
        <v>647</v>
      </c>
      <c r="C444" t="s">
        <v>1</v>
      </c>
      <c r="D444" t="s">
        <v>0</v>
      </c>
      <c r="E444">
        <v>47702</v>
      </c>
      <c r="F444" t="s">
        <v>418</v>
      </c>
      <c r="G444" t="s">
        <v>419</v>
      </c>
      <c r="H444" s="3">
        <v>8.73</v>
      </c>
      <c r="I444" s="3">
        <v>0</v>
      </c>
      <c r="J444" s="3">
        <v>0</v>
      </c>
      <c r="K444" s="3">
        <v>75.75</v>
      </c>
      <c r="L444" s="3">
        <v>0</v>
      </c>
      <c r="M444" s="3">
        <v>0</v>
      </c>
      <c r="N444" s="3">
        <v>0</v>
      </c>
      <c r="O444" s="3">
        <v>9.8475000000000001</v>
      </c>
      <c r="P444" s="3">
        <v>94.327500000000001</v>
      </c>
      <c r="Q444">
        <v>3</v>
      </c>
    </row>
    <row r="445" spans="1:17" x14ac:dyDescent="0.25">
      <c r="A445" t="s">
        <v>567</v>
      </c>
      <c r="B445" t="s">
        <v>123</v>
      </c>
      <c r="C445" t="s">
        <v>1</v>
      </c>
      <c r="D445" t="s">
        <v>0</v>
      </c>
      <c r="E445">
        <v>89481</v>
      </c>
      <c r="F445" t="s">
        <v>563</v>
      </c>
      <c r="G445" t="s">
        <v>564</v>
      </c>
      <c r="H445" s="3">
        <v>0</v>
      </c>
      <c r="I445" s="3">
        <v>0</v>
      </c>
      <c r="J445" s="3">
        <v>0</v>
      </c>
      <c r="K445" s="3">
        <v>10.87</v>
      </c>
      <c r="L445" s="3">
        <v>0</v>
      </c>
      <c r="M445" s="3">
        <v>0</v>
      </c>
      <c r="N445" s="3">
        <v>0</v>
      </c>
      <c r="O445" s="3">
        <v>1.4131</v>
      </c>
      <c r="P445" s="3">
        <v>12.283099999999999</v>
      </c>
      <c r="Q445">
        <v>3</v>
      </c>
    </row>
    <row r="446" spans="1:17" x14ac:dyDescent="0.25">
      <c r="A446" t="s">
        <v>567</v>
      </c>
      <c r="B446" t="s">
        <v>646</v>
      </c>
      <c r="C446" t="s">
        <v>1</v>
      </c>
      <c r="D446" t="s">
        <v>0</v>
      </c>
      <c r="E446">
        <v>483</v>
      </c>
      <c r="F446" t="s">
        <v>475</v>
      </c>
      <c r="G446" t="s">
        <v>476</v>
      </c>
      <c r="H446" s="3">
        <v>0</v>
      </c>
      <c r="I446" s="3">
        <v>0</v>
      </c>
      <c r="J446" s="3">
        <v>0</v>
      </c>
      <c r="K446" s="3">
        <v>35.659999999999997</v>
      </c>
      <c r="L446" s="3">
        <v>0</v>
      </c>
      <c r="M446" s="3">
        <v>0</v>
      </c>
      <c r="N446" s="3">
        <v>0</v>
      </c>
      <c r="O446" s="3">
        <v>4.6357999999999997</v>
      </c>
      <c r="P446" s="3">
        <v>40.2958</v>
      </c>
      <c r="Q446">
        <v>3</v>
      </c>
    </row>
    <row r="447" spans="1:17" x14ac:dyDescent="0.25">
      <c r="A447" t="s">
        <v>567</v>
      </c>
      <c r="B447" t="s">
        <v>646</v>
      </c>
      <c r="C447" t="s">
        <v>1</v>
      </c>
      <c r="D447" t="s">
        <v>0</v>
      </c>
      <c r="E447">
        <v>424733</v>
      </c>
      <c r="F447" t="s">
        <v>103</v>
      </c>
      <c r="G447" t="s">
        <v>104</v>
      </c>
      <c r="H447" s="3">
        <v>0</v>
      </c>
      <c r="I447" s="3">
        <v>0</v>
      </c>
      <c r="J447" s="3">
        <v>0</v>
      </c>
      <c r="K447" s="3">
        <v>17.440000000000001</v>
      </c>
      <c r="L447" s="3">
        <v>0</v>
      </c>
      <c r="M447" s="3">
        <v>0</v>
      </c>
      <c r="N447" s="3">
        <v>0</v>
      </c>
      <c r="O447" s="3">
        <v>2.2672000000000003</v>
      </c>
      <c r="P447" s="3">
        <v>19.7072</v>
      </c>
      <c r="Q447">
        <v>3</v>
      </c>
    </row>
    <row r="448" spans="1:17" x14ac:dyDescent="0.25">
      <c r="A448" t="s">
        <v>567</v>
      </c>
      <c r="B448" t="s">
        <v>646</v>
      </c>
      <c r="C448" t="s">
        <v>1</v>
      </c>
      <c r="D448" t="s">
        <v>0</v>
      </c>
      <c r="E448">
        <v>165034</v>
      </c>
      <c r="F448" t="s">
        <v>425</v>
      </c>
      <c r="G448" t="s">
        <v>426</v>
      </c>
      <c r="H448" s="3">
        <v>2.79</v>
      </c>
      <c r="I448" s="3">
        <v>0</v>
      </c>
      <c r="J448" s="3">
        <v>0</v>
      </c>
      <c r="K448" s="3">
        <v>24.08</v>
      </c>
      <c r="L448" s="3">
        <v>0</v>
      </c>
      <c r="M448" s="3">
        <v>0</v>
      </c>
      <c r="N448" s="3">
        <v>0</v>
      </c>
      <c r="O448" s="3">
        <v>3.1303999999999998</v>
      </c>
      <c r="P448" s="3">
        <v>30.000399999999999</v>
      </c>
      <c r="Q448">
        <v>3</v>
      </c>
    </row>
    <row r="449" spans="1:17" x14ac:dyDescent="0.25">
      <c r="A449" t="s">
        <v>567</v>
      </c>
      <c r="B449" t="s">
        <v>646</v>
      </c>
      <c r="C449" t="s">
        <v>1</v>
      </c>
      <c r="D449" t="s">
        <v>0</v>
      </c>
      <c r="E449">
        <v>47813</v>
      </c>
      <c r="F449" t="s">
        <v>418</v>
      </c>
      <c r="G449" t="s">
        <v>419</v>
      </c>
      <c r="H449" s="3">
        <v>8.6300000000000008</v>
      </c>
      <c r="I449" s="3">
        <v>0</v>
      </c>
      <c r="J449" s="3">
        <v>0</v>
      </c>
      <c r="K449" s="3">
        <v>74.900000000000006</v>
      </c>
      <c r="L449" s="3">
        <v>0</v>
      </c>
      <c r="M449" s="3">
        <v>0</v>
      </c>
      <c r="N449" s="3">
        <v>0</v>
      </c>
      <c r="O449" s="3">
        <v>9.7370000000000019</v>
      </c>
      <c r="P449" s="3">
        <v>93.266999999999996</v>
      </c>
      <c r="Q449">
        <v>3</v>
      </c>
    </row>
    <row r="450" spans="1:17" x14ac:dyDescent="0.25">
      <c r="A450" t="s">
        <v>567</v>
      </c>
      <c r="B450" t="s">
        <v>645</v>
      </c>
      <c r="C450" t="s">
        <v>1</v>
      </c>
      <c r="D450" t="s">
        <v>0</v>
      </c>
      <c r="E450">
        <v>48059</v>
      </c>
      <c r="F450" t="s">
        <v>418</v>
      </c>
      <c r="G450" t="s">
        <v>419</v>
      </c>
      <c r="H450" s="3">
        <v>10.3</v>
      </c>
      <c r="I450" s="3">
        <v>0</v>
      </c>
      <c r="J450" s="3">
        <v>0</v>
      </c>
      <c r="K450" s="3">
        <v>89.36</v>
      </c>
      <c r="L450" s="3">
        <v>0</v>
      </c>
      <c r="M450" s="3">
        <v>0</v>
      </c>
      <c r="N450" s="3">
        <v>0</v>
      </c>
      <c r="O450" s="3">
        <v>11.6168</v>
      </c>
      <c r="P450" s="3">
        <v>111.27679999999999</v>
      </c>
      <c r="Q450">
        <v>3</v>
      </c>
    </row>
    <row r="451" spans="1:17" x14ac:dyDescent="0.25">
      <c r="A451" t="s">
        <v>567</v>
      </c>
      <c r="B451" t="s">
        <v>537</v>
      </c>
      <c r="C451" t="s">
        <v>1</v>
      </c>
      <c r="D451" t="s">
        <v>0</v>
      </c>
      <c r="E451">
        <v>553805</v>
      </c>
      <c r="F451" t="s">
        <v>440</v>
      </c>
      <c r="G451" t="s">
        <v>441</v>
      </c>
      <c r="H451" s="3">
        <v>14.379999999999999</v>
      </c>
      <c r="I451" s="3">
        <v>0</v>
      </c>
      <c r="J451" s="3">
        <v>0</v>
      </c>
      <c r="K451" s="3">
        <v>120.05</v>
      </c>
      <c r="L451" s="3">
        <v>0</v>
      </c>
      <c r="M451" s="3">
        <v>0</v>
      </c>
      <c r="N451" s="3">
        <v>0</v>
      </c>
      <c r="O451" s="3">
        <v>15.6065</v>
      </c>
      <c r="P451" s="3">
        <v>150.03650000000002</v>
      </c>
      <c r="Q451">
        <v>3</v>
      </c>
    </row>
    <row r="452" spans="1:17" x14ac:dyDescent="0.25">
      <c r="A452" t="s">
        <v>567</v>
      </c>
      <c r="B452" t="s">
        <v>631</v>
      </c>
      <c r="C452" t="s">
        <v>1</v>
      </c>
      <c r="D452" t="s">
        <v>0</v>
      </c>
      <c r="E452">
        <v>118</v>
      </c>
      <c r="F452" t="s">
        <v>672</v>
      </c>
      <c r="G452" t="s">
        <v>673</v>
      </c>
      <c r="H452" s="3">
        <v>0</v>
      </c>
      <c r="I452" s="3">
        <v>0</v>
      </c>
      <c r="J452" s="3">
        <v>0</v>
      </c>
      <c r="K452" s="3">
        <v>194.69</v>
      </c>
      <c r="L452" s="3">
        <v>0</v>
      </c>
      <c r="M452" s="3">
        <v>0</v>
      </c>
      <c r="N452" s="3">
        <v>0</v>
      </c>
      <c r="O452" s="3">
        <v>25.309699999999999</v>
      </c>
      <c r="P452" s="3">
        <v>219.99969999999999</v>
      </c>
      <c r="Q452">
        <v>3</v>
      </c>
    </row>
    <row r="453" spans="1:17" x14ac:dyDescent="0.25">
      <c r="A453" t="s">
        <v>567</v>
      </c>
      <c r="B453" t="s">
        <v>631</v>
      </c>
      <c r="C453" t="s">
        <v>1</v>
      </c>
      <c r="D453" t="s">
        <v>0</v>
      </c>
      <c r="E453">
        <v>484</v>
      </c>
      <c r="F453" t="s">
        <v>475</v>
      </c>
      <c r="G453" t="s">
        <v>476</v>
      </c>
      <c r="H453" s="3">
        <v>0</v>
      </c>
      <c r="I453" s="3">
        <v>0</v>
      </c>
      <c r="J453" s="3">
        <v>0</v>
      </c>
      <c r="K453" s="3">
        <v>72.44</v>
      </c>
      <c r="L453" s="3">
        <v>0</v>
      </c>
      <c r="M453" s="3">
        <v>0</v>
      </c>
      <c r="N453" s="3">
        <v>0</v>
      </c>
      <c r="O453" s="3">
        <v>9.4171999999999993</v>
      </c>
      <c r="P453" s="3">
        <v>81.857199999999992</v>
      </c>
      <c r="Q453">
        <v>3</v>
      </c>
    </row>
    <row r="454" spans="1:17" x14ac:dyDescent="0.25">
      <c r="A454" t="s">
        <v>567</v>
      </c>
      <c r="B454" t="s">
        <v>631</v>
      </c>
      <c r="C454" t="s">
        <v>1</v>
      </c>
      <c r="D454" t="s">
        <v>0</v>
      </c>
      <c r="E454">
        <v>13898</v>
      </c>
      <c r="F454" t="s">
        <v>453</v>
      </c>
      <c r="G454" t="s">
        <v>454</v>
      </c>
      <c r="H454" s="3">
        <v>0</v>
      </c>
      <c r="I454" s="3">
        <v>0</v>
      </c>
      <c r="J454" s="3">
        <v>0</v>
      </c>
      <c r="K454" s="3">
        <v>69.75</v>
      </c>
      <c r="L454" s="3">
        <v>0</v>
      </c>
      <c r="M454" s="3">
        <v>0</v>
      </c>
      <c r="N454" s="3">
        <v>0</v>
      </c>
      <c r="O454" s="3">
        <v>9.0675000000000008</v>
      </c>
      <c r="P454" s="3">
        <v>78.817499999999995</v>
      </c>
      <c r="Q454">
        <v>3</v>
      </c>
    </row>
    <row r="455" spans="1:17" x14ac:dyDescent="0.25">
      <c r="A455" t="s">
        <v>567</v>
      </c>
      <c r="B455" t="s">
        <v>631</v>
      </c>
      <c r="C455" t="s">
        <v>1</v>
      </c>
      <c r="D455" t="s">
        <v>0</v>
      </c>
      <c r="E455">
        <v>2752</v>
      </c>
      <c r="F455" t="s">
        <v>669</v>
      </c>
      <c r="G455" t="s">
        <v>670</v>
      </c>
      <c r="H455" s="3">
        <v>0</v>
      </c>
      <c r="I455" s="3">
        <v>0</v>
      </c>
      <c r="J455" s="3">
        <v>0</v>
      </c>
      <c r="K455" s="3">
        <v>69.58</v>
      </c>
      <c r="L455" s="3">
        <v>0</v>
      </c>
      <c r="M455" s="3">
        <v>0</v>
      </c>
      <c r="N455" s="3">
        <v>0</v>
      </c>
      <c r="O455" s="3">
        <v>9.0454000000000008</v>
      </c>
      <c r="P455" s="3">
        <v>78.625399999999999</v>
      </c>
      <c r="Q455">
        <v>3</v>
      </c>
    </row>
    <row r="456" spans="1:17" x14ac:dyDescent="0.25">
      <c r="A456" t="s">
        <v>567</v>
      </c>
      <c r="B456" t="s">
        <v>631</v>
      </c>
      <c r="C456" t="s">
        <v>1</v>
      </c>
      <c r="D456" t="s">
        <v>0</v>
      </c>
      <c r="E456">
        <v>200627</v>
      </c>
      <c r="F456" t="s">
        <v>440</v>
      </c>
      <c r="G456" t="s">
        <v>441</v>
      </c>
      <c r="H456" s="3">
        <v>7.4700000000000006</v>
      </c>
      <c r="I456" s="3">
        <v>0</v>
      </c>
      <c r="J456" s="3">
        <v>0</v>
      </c>
      <c r="K456" s="3">
        <v>64.180000000000007</v>
      </c>
      <c r="L456" s="3">
        <v>0</v>
      </c>
      <c r="M456" s="3">
        <v>0</v>
      </c>
      <c r="N456" s="3">
        <v>0</v>
      </c>
      <c r="O456" s="3">
        <v>8.3434000000000008</v>
      </c>
      <c r="P456" s="3">
        <v>79.993400000000008</v>
      </c>
      <c r="Q456">
        <v>3</v>
      </c>
    </row>
    <row r="457" spans="1:17" x14ac:dyDescent="0.25">
      <c r="A457" t="s">
        <v>567</v>
      </c>
      <c r="B457" t="s">
        <v>631</v>
      </c>
      <c r="C457" t="s">
        <v>1</v>
      </c>
      <c r="D457" t="s">
        <v>0</v>
      </c>
      <c r="E457">
        <v>165232</v>
      </c>
      <c r="F457" t="s">
        <v>425</v>
      </c>
      <c r="G457" t="s">
        <v>426</v>
      </c>
      <c r="H457" s="3">
        <v>2.2000000000000002</v>
      </c>
      <c r="I457" s="3">
        <v>0</v>
      </c>
      <c r="J457" s="3">
        <v>0</v>
      </c>
      <c r="K457" s="3">
        <v>19.07</v>
      </c>
      <c r="L457" s="3">
        <v>0</v>
      </c>
      <c r="M457" s="3">
        <v>0</v>
      </c>
      <c r="N457" s="3">
        <v>0</v>
      </c>
      <c r="O457" s="3">
        <v>2.4791000000000003</v>
      </c>
      <c r="P457" s="3">
        <v>23.749099999999999</v>
      </c>
      <c r="Q457">
        <v>3</v>
      </c>
    </row>
    <row r="458" spans="1:17" x14ac:dyDescent="0.25">
      <c r="A458" t="s">
        <v>567</v>
      </c>
      <c r="B458" t="s">
        <v>631</v>
      </c>
      <c r="C458" t="s">
        <v>1</v>
      </c>
      <c r="D458" t="s">
        <v>0</v>
      </c>
      <c r="E458">
        <v>48346</v>
      </c>
      <c r="F458" t="s">
        <v>418</v>
      </c>
      <c r="G458" t="s">
        <v>419</v>
      </c>
      <c r="H458" s="3">
        <v>10.94</v>
      </c>
      <c r="I458" s="3">
        <v>0</v>
      </c>
      <c r="J458" s="3">
        <v>0</v>
      </c>
      <c r="K458" s="3">
        <v>94.88</v>
      </c>
      <c r="L458" s="3">
        <v>0</v>
      </c>
      <c r="M458" s="3">
        <v>0</v>
      </c>
      <c r="N458" s="3">
        <v>0</v>
      </c>
      <c r="O458" s="3">
        <v>12.3344</v>
      </c>
      <c r="P458" s="3">
        <v>118.1544</v>
      </c>
      <c r="Q458">
        <v>3</v>
      </c>
    </row>
    <row r="459" spans="1:17" x14ac:dyDescent="0.25">
      <c r="A459" t="s">
        <v>567</v>
      </c>
      <c r="B459" t="s">
        <v>630</v>
      </c>
      <c r="C459" t="s">
        <v>1</v>
      </c>
      <c r="D459" t="s">
        <v>0</v>
      </c>
      <c r="E459">
        <v>503</v>
      </c>
      <c r="F459" t="s">
        <v>475</v>
      </c>
      <c r="G459" t="s">
        <v>476</v>
      </c>
      <c r="H459" s="3">
        <v>0</v>
      </c>
      <c r="I459" s="3">
        <v>0</v>
      </c>
      <c r="J459" s="3">
        <v>0</v>
      </c>
      <c r="K459" s="3">
        <v>28.08</v>
      </c>
      <c r="L459" s="3">
        <v>0</v>
      </c>
      <c r="M459" s="3">
        <v>0</v>
      </c>
      <c r="N459" s="3">
        <v>0</v>
      </c>
      <c r="O459" s="3">
        <v>3.6503999999999999</v>
      </c>
      <c r="P459" s="3">
        <v>31.730399999999999</v>
      </c>
      <c r="Q459">
        <v>3</v>
      </c>
    </row>
    <row r="460" spans="1:17" x14ac:dyDescent="0.25">
      <c r="A460" t="s">
        <v>567</v>
      </c>
      <c r="B460" t="s">
        <v>630</v>
      </c>
      <c r="C460" t="s">
        <v>1</v>
      </c>
      <c r="D460" t="s">
        <v>0</v>
      </c>
      <c r="E460">
        <v>495</v>
      </c>
      <c r="F460" t="s">
        <v>475</v>
      </c>
      <c r="G460" t="s">
        <v>476</v>
      </c>
      <c r="H460" s="3">
        <v>0</v>
      </c>
      <c r="I460" s="3">
        <v>0</v>
      </c>
      <c r="J460" s="3">
        <v>0</v>
      </c>
      <c r="K460" s="3">
        <v>56.26</v>
      </c>
      <c r="L460" s="3">
        <v>0</v>
      </c>
      <c r="M460" s="3">
        <v>0</v>
      </c>
      <c r="N460" s="3">
        <v>0</v>
      </c>
      <c r="O460" s="3">
        <v>7.3137999999999996</v>
      </c>
      <c r="P460" s="3">
        <v>63.573799999999999</v>
      </c>
      <c r="Q460">
        <v>3</v>
      </c>
    </row>
    <row r="461" spans="1:17" x14ac:dyDescent="0.25">
      <c r="A461" t="s">
        <v>567</v>
      </c>
      <c r="B461" t="s">
        <v>630</v>
      </c>
      <c r="C461" t="s">
        <v>1</v>
      </c>
      <c r="D461" t="s">
        <v>0</v>
      </c>
      <c r="E461">
        <v>494</v>
      </c>
      <c r="F461" t="s">
        <v>475</v>
      </c>
      <c r="G461" t="s">
        <v>476</v>
      </c>
      <c r="H461" s="3">
        <v>0</v>
      </c>
      <c r="I461" s="3">
        <v>0</v>
      </c>
      <c r="J461" s="3">
        <v>0</v>
      </c>
      <c r="K461" s="3">
        <v>56.26</v>
      </c>
      <c r="L461" s="3">
        <v>0</v>
      </c>
      <c r="M461" s="3">
        <v>0</v>
      </c>
      <c r="N461" s="3">
        <v>0</v>
      </c>
      <c r="O461" s="3">
        <v>7.3137999999999996</v>
      </c>
      <c r="P461" s="3">
        <v>63.573799999999999</v>
      </c>
      <c r="Q461">
        <v>3</v>
      </c>
    </row>
    <row r="462" spans="1:17" x14ac:dyDescent="0.25">
      <c r="A462" t="s">
        <v>567</v>
      </c>
      <c r="B462" t="s">
        <v>630</v>
      </c>
      <c r="C462" t="s">
        <v>1</v>
      </c>
      <c r="D462" t="s">
        <v>0</v>
      </c>
      <c r="E462">
        <v>500</v>
      </c>
      <c r="F462" t="s">
        <v>475</v>
      </c>
      <c r="G462" t="s">
        <v>476</v>
      </c>
      <c r="H462" s="3">
        <v>0</v>
      </c>
      <c r="I462" s="3">
        <v>0</v>
      </c>
      <c r="J462" s="3">
        <v>0</v>
      </c>
      <c r="K462" s="3">
        <v>45.77</v>
      </c>
      <c r="L462" s="3">
        <v>0</v>
      </c>
      <c r="M462" s="3">
        <v>0</v>
      </c>
      <c r="N462" s="3">
        <v>0</v>
      </c>
      <c r="O462" s="3">
        <v>5.9501000000000008</v>
      </c>
      <c r="P462" s="3">
        <v>51.720100000000002</v>
      </c>
      <c r="Q462">
        <v>3</v>
      </c>
    </row>
    <row r="463" spans="1:17" x14ac:dyDescent="0.25">
      <c r="A463" t="s">
        <v>567</v>
      </c>
      <c r="B463" t="s">
        <v>630</v>
      </c>
      <c r="C463" t="s">
        <v>1</v>
      </c>
      <c r="D463" t="s">
        <v>0</v>
      </c>
      <c r="E463">
        <v>233175</v>
      </c>
      <c r="F463" t="s">
        <v>563</v>
      </c>
      <c r="G463" t="s">
        <v>564</v>
      </c>
      <c r="H463" s="3">
        <v>0</v>
      </c>
      <c r="I463" s="3">
        <v>0</v>
      </c>
      <c r="J463" s="3">
        <v>0</v>
      </c>
      <c r="K463" s="3">
        <v>66.37</v>
      </c>
      <c r="L463" s="3">
        <v>0</v>
      </c>
      <c r="M463" s="3">
        <v>0</v>
      </c>
      <c r="N463" s="3">
        <v>0</v>
      </c>
      <c r="O463" s="3">
        <v>8.6281000000000017</v>
      </c>
      <c r="P463" s="3">
        <v>74.998100000000008</v>
      </c>
      <c r="Q463">
        <v>3</v>
      </c>
    </row>
    <row r="464" spans="1:17" x14ac:dyDescent="0.25">
      <c r="A464" t="s">
        <v>567</v>
      </c>
      <c r="B464" t="s">
        <v>569</v>
      </c>
      <c r="C464" t="s">
        <v>1</v>
      </c>
      <c r="D464" t="s">
        <v>0</v>
      </c>
      <c r="E464">
        <v>509</v>
      </c>
      <c r="F464" t="s">
        <v>475</v>
      </c>
      <c r="G464" t="s">
        <v>476</v>
      </c>
      <c r="H464" s="3">
        <v>0</v>
      </c>
      <c r="I464" s="3">
        <v>0</v>
      </c>
      <c r="J464" s="3">
        <v>0</v>
      </c>
      <c r="K464" s="3">
        <v>56.26</v>
      </c>
      <c r="L464" s="3">
        <v>0</v>
      </c>
      <c r="M464" s="3">
        <v>0</v>
      </c>
      <c r="N464" s="3">
        <v>0</v>
      </c>
      <c r="O464" s="3">
        <v>7.3137999999999996</v>
      </c>
      <c r="P464" s="3">
        <v>63.573799999999999</v>
      </c>
      <c r="Q464">
        <v>3</v>
      </c>
    </row>
    <row r="465" spans="1:17" x14ac:dyDescent="0.25">
      <c r="A465" t="s">
        <v>567</v>
      </c>
      <c r="B465" t="s">
        <v>569</v>
      </c>
      <c r="C465" t="s">
        <v>1</v>
      </c>
      <c r="D465" t="s">
        <v>0</v>
      </c>
      <c r="E465">
        <v>511</v>
      </c>
      <c r="F465" t="s">
        <v>475</v>
      </c>
      <c r="G465" t="s">
        <v>476</v>
      </c>
      <c r="H465" s="3">
        <v>0</v>
      </c>
      <c r="I465" s="3">
        <v>0</v>
      </c>
      <c r="J465" s="3">
        <v>0</v>
      </c>
      <c r="K465" s="3">
        <v>48.01</v>
      </c>
      <c r="L465" s="3">
        <v>0</v>
      </c>
      <c r="M465" s="3">
        <v>0</v>
      </c>
      <c r="N465" s="3">
        <v>0</v>
      </c>
      <c r="O465" s="3">
        <v>6.2412999999999998</v>
      </c>
      <c r="P465" s="3">
        <v>54.251300000000001</v>
      </c>
      <c r="Q465">
        <v>3</v>
      </c>
    </row>
    <row r="466" spans="1:17" x14ac:dyDescent="0.25">
      <c r="A466" t="s">
        <v>567</v>
      </c>
      <c r="B466" t="s">
        <v>569</v>
      </c>
      <c r="C466" t="s">
        <v>1</v>
      </c>
      <c r="D466" t="s">
        <v>0</v>
      </c>
      <c r="E466">
        <v>165590</v>
      </c>
      <c r="F466" t="s">
        <v>425</v>
      </c>
      <c r="G466" t="s">
        <v>426</v>
      </c>
      <c r="H466" s="3">
        <v>3.62</v>
      </c>
      <c r="I466" s="3">
        <v>0</v>
      </c>
      <c r="J466" s="3">
        <v>0</v>
      </c>
      <c r="K466" s="3">
        <v>32.200000000000003</v>
      </c>
      <c r="L466" s="3">
        <v>0</v>
      </c>
      <c r="M466" s="3">
        <v>0</v>
      </c>
      <c r="N466" s="3">
        <v>0</v>
      </c>
      <c r="O466" s="3">
        <v>4.1860000000000008</v>
      </c>
      <c r="P466" s="3">
        <v>40.006</v>
      </c>
      <c r="Q466">
        <v>3</v>
      </c>
    </row>
    <row r="467" spans="1:17" x14ac:dyDescent="0.25">
      <c r="A467" t="s">
        <v>567</v>
      </c>
      <c r="B467" t="s">
        <v>569</v>
      </c>
      <c r="C467" t="s">
        <v>1</v>
      </c>
      <c r="D467" t="s">
        <v>0</v>
      </c>
      <c r="E467">
        <v>48881</v>
      </c>
      <c r="F467" t="s">
        <v>418</v>
      </c>
      <c r="G467" t="s">
        <v>419</v>
      </c>
      <c r="H467" s="3">
        <v>9.4599999999999991</v>
      </c>
      <c r="I467" s="3">
        <v>0</v>
      </c>
      <c r="J467" s="3">
        <v>0</v>
      </c>
      <c r="K467" s="3">
        <v>84.55</v>
      </c>
      <c r="L467" s="3">
        <v>0</v>
      </c>
      <c r="M467" s="3">
        <v>0</v>
      </c>
      <c r="N467" s="3">
        <v>0</v>
      </c>
      <c r="O467" s="3">
        <v>10.9915</v>
      </c>
      <c r="P467" s="3">
        <v>105.00149999999999</v>
      </c>
      <c r="Q467">
        <v>3</v>
      </c>
    </row>
    <row r="468" spans="1:17" x14ac:dyDescent="0.25">
      <c r="A468" t="s">
        <v>567</v>
      </c>
      <c r="B468" t="s">
        <v>569</v>
      </c>
      <c r="C468" t="s">
        <v>1</v>
      </c>
      <c r="D468" t="s">
        <v>0</v>
      </c>
      <c r="E468">
        <v>48704</v>
      </c>
      <c r="F468" t="s">
        <v>418</v>
      </c>
      <c r="G468" t="s">
        <v>419</v>
      </c>
      <c r="H468" s="3">
        <v>7.73</v>
      </c>
      <c r="I468" s="3">
        <v>0</v>
      </c>
      <c r="J468" s="3">
        <v>0</v>
      </c>
      <c r="K468" s="3">
        <v>69.150000000000006</v>
      </c>
      <c r="L468" s="3">
        <v>0</v>
      </c>
      <c r="M468" s="3">
        <v>0</v>
      </c>
      <c r="N468" s="3">
        <v>0</v>
      </c>
      <c r="O468" s="3">
        <v>8.9895000000000014</v>
      </c>
      <c r="P468" s="3">
        <v>85.869500000000016</v>
      </c>
      <c r="Q468">
        <v>3</v>
      </c>
    </row>
    <row r="469" spans="1:17" x14ac:dyDescent="0.25">
      <c r="A469" t="s">
        <v>567</v>
      </c>
      <c r="B469" t="s">
        <v>569</v>
      </c>
      <c r="C469" t="s">
        <v>1</v>
      </c>
      <c r="D469" t="s">
        <v>0</v>
      </c>
      <c r="E469">
        <v>2177</v>
      </c>
      <c r="F469" t="s">
        <v>568</v>
      </c>
      <c r="G469" t="s">
        <v>570</v>
      </c>
      <c r="H469" s="3">
        <v>0</v>
      </c>
      <c r="I469" s="3">
        <v>0</v>
      </c>
      <c r="J469" s="3">
        <v>0</v>
      </c>
      <c r="K469" s="3">
        <v>230.97</v>
      </c>
      <c r="L469" s="3">
        <v>0</v>
      </c>
      <c r="M469" s="3">
        <v>0</v>
      </c>
      <c r="N469" s="3">
        <v>0</v>
      </c>
      <c r="O469" s="3">
        <v>30.0261</v>
      </c>
      <c r="P469" s="3">
        <v>260.99610000000001</v>
      </c>
      <c r="Q469">
        <v>3</v>
      </c>
    </row>
    <row r="470" spans="1:17" x14ac:dyDescent="0.25">
      <c r="A470" t="s">
        <v>567</v>
      </c>
      <c r="B470" t="s">
        <v>541</v>
      </c>
      <c r="C470" t="s">
        <v>1</v>
      </c>
      <c r="D470" t="s">
        <v>0</v>
      </c>
      <c r="E470">
        <v>5569</v>
      </c>
      <c r="F470" t="s">
        <v>455</v>
      </c>
      <c r="G470" t="s">
        <v>456</v>
      </c>
      <c r="H470" s="3">
        <v>8.44</v>
      </c>
      <c r="I470" s="3">
        <v>0</v>
      </c>
      <c r="J470" s="3">
        <v>0</v>
      </c>
      <c r="K470" s="3">
        <v>70.41</v>
      </c>
      <c r="L470" s="3">
        <v>0</v>
      </c>
      <c r="M470" s="3">
        <v>0</v>
      </c>
      <c r="N470" s="3">
        <v>0</v>
      </c>
      <c r="O470" s="3">
        <v>9.1532999999999998</v>
      </c>
      <c r="P470" s="3">
        <v>88.003299999999996</v>
      </c>
      <c r="Q470">
        <v>3</v>
      </c>
    </row>
    <row r="471" spans="1:17" x14ac:dyDescent="0.25">
      <c r="A471" t="s">
        <v>567</v>
      </c>
      <c r="B471" t="s">
        <v>644</v>
      </c>
      <c r="C471" t="s">
        <v>1</v>
      </c>
      <c r="D471" t="s">
        <v>0</v>
      </c>
      <c r="E471">
        <v>519</v>
      </c>
      <c r="F471" t="s">
        <v>475</v>
      </c>
      <c r="G471" t="s">
        <v>476</v>
      </c>
      <c r="H471" s="3">
        <v>0</v>
      </c>
      <c r="I471" s="3">
        <v>0</v>
      </c>
      <c r="J471" s="3">
        <v>0</v>
      </c>
      <c r="K471" s="3">
        <v>28.08</v>
      </c>
      <c r="L471" s="3">
        <v>0</v>
      </c>
      <c r="M471" s="3">
        <v>0</v>
      </c>
      <c r="N471" s="3">
        <v>0</v>
      </c>
      <c r="O471" s="3">
        <v>3.6503999999999999</v>
      </c>
      <c r="P471" s="3">
        <v>31.730399999999999</v>
      </c>
      <c r="Q471">
        <v>3</v>
      </c>
    </row>
    <row r="472" spans="1:17" x14ac:dyDescent="0.25">
      <c r="A472" t="s">
        <v>567</v>
      </c>
      <c r="B472" t="s">
        <v>644</v>
      </c>
      <c r="C472" t="s">
        <v>1</v>
      </c>
      <c r="D472" t="s">
        <v>0</v>
      </c>
      <c r="E472">
        <v>520</v>
      </c>
      <c r="F472" t="s">
        <v>475</v>
      </c>
      <c r="G472" t="s">
        <v>476</v>
      </c>
      <c r="H472" s="3">
        <v>0</v>
      </c>
      <c r="I472" s="3">
        <v>0</v>
      </c>
      <c r="J472" s="3">
        <v>0</v>
      </c>
      <c r="K472" s="3">
        <v>28.08</v>
      </c>
      <c r="L472" s="3">
        <v>0</v>
      </c>
      <c r="M472" s="3">
        <v>0</v>
      </c>
      <c r="N472" s="3">
        <v>0</v>
      </c>
      <c r="O472" s="3">
        <v>3.6503999999999999</v>
      </c>
      <c r="P472" s="3">
        <v>31.730399999999999</v>
      </c>
      <c r="Q472">
        <v>3</v>
      </c>
    </row>
    <row r="473" spans="1:17" x14ac:dyDescent="0.25">
      <c r="A473" t="s">
        <v>567</v>
      </c>
      <c r="B473" t="s">
        <v>644</v>
      </c>
      <c r="C473" t="s">
        <v>1</v>
      </c>
      <c r="D473" t="s">
        <v>0</v>
      </c>
      <c r="E473">
        <v>6940</v>
      </c>
      <c r="F473" t="s">
        <v>451</v>
      </c>
      <c r="G473" t="s">
        <v>452</v>
      </c>
      <c r="H473" s="3">
        <v>14.5</v>
      </c>
      <c r="I473" s="3">
        <v>0</v>
      </c>
      <c r="J473" s="3">
        <v>0</v>
      </c>
      <c r="K473" s="3">
        <v>128.76</v>
      </c>
      <c r="L473" s="3">
        <v>0</v>
      </c>
      <c r="M473" s="3">
        <v>0</v>
      </c>
      <c r="N473" s="3">
        <v>0</v>
      </c>
      <c r="O473" s="3">
        <v>16.738799999999998</v>
      </c>
      <c r="P473" s="3">
        <v>159.99879999999999</v>
      </c>
      <c r="Q473">
        <v>3</v>
      </c>
    </row>
    <row r="474" spans="1:17" x14ac:dyDescent="0.25">
      <c r="A474" t="s">
        <v>567</v>
      </c>
      <c r="B474" t="s">
        <v>644</v>
      </c>
      <c r="C474" t="s">
        <v>1</v>
      </c>
      <c r="D474" t="s">
        <v>0</v>
      </c>
      <c r="E474">
        <v>116178</v>
      </c>
      <c r="F474" t="s">
        <v>459</v>
      </c>
      <c r="G474" t="s">
        <v>460</v>
      </c>
      <c r="H474" s="3">
        <v>2.91</v>
      </c>
      <c r="I474" s="3">
        <v>0</v>
      </c>
      <c r="J474" s="3">
        <v>0</v>
      </c>
      <c r="K474" s="3">
        <v>34.119999999999997</v>
      </c>
      <c r="L474" s="3">
        <v>0</v>
      </c>
      <c r="M474" s="3">
        <v>0</v>
      </c>
      <c r="N474" s="3">
        <v>0</v>
      </c>
      <c r="O474" s="3">
        <v>4.4356</v>
      </c>
      <c r="P474" s="3">
        <v>41.465600000000002</v>
      </c>
      <c r="Q474">
        <v>3</v>
      </c>
    </row>
    <row r="475" spans="1:17" x14ac:dyDescent="0.25">
      <c r="A475" t="s">
        <v>567</v>
      </c>
      <c r="B475" t="s">
        <v>644</v>
      </c>
      <c r="C475" t="s">
        <v>1</v>
      </c>
      <c r="D475" t="s">
        <v>0</v>
      </c>
      <c r="E475">
        <v>48953</v>
      </c>
      <c r="F475" t="s">
        <v>418</v>
      </c>
      <c r="G475" t="s">
        <v>419</v>
      </c>
      <c r="H475" s="3">
        <v>12.69</v>
      </c>
      <c r="I475" s="3">
        <v>0</v>
      </c>
      <c r="J475" s="3">
        <v>0</v>
      </c>
      <c r="K475" s="3">
        <v>113.51</v>
      </c>
      <c r="L475" s="3">
        <v>0</v>
      </c>
      <c r="M475" s="3">
        <v>0</v>
      </c>
      <c r="N475" s="3">
        <v>0</v>
      </c>
      <c r="O475" s="3">
        <v>14.756300000000001</v>
      </c>
      <c r="P475" s="3">
        <v>140.9563</v>
      </c>
      <c r="Q475">
        <v>3</v>
      </c>
    </row>
    <row r="476" spans="1:17" x14ac:dyDescent="0.25">
      <c r="A476" t="s">
        <v>567</v>
      </c>
      <c r="B476" t="s">
        <v>520</v>
      </c>
      <c r="C476" t="s">
        <v>1</v>
      </c>
      <c r="D476" t="s">
        <v>0</v>
      </c>
      <c r="E476">
        <v>1600</v>
      </c>
      <c r="F476" t="s">
        <v>559</v>
      </c>
      <c r="G476" t="s">
        <v>560</v>
      </c>
      <c r="H476" s="3">
        <v>0</v>
      </c>
      <c r="I476" s="3">
        <v>0</v>
      </c>
      <c r="J476" s="3">
        <v>0</v>
      </c>
      <c r="K476" s="3">
        <v>6.64</v>
      </c>
      <c r="L476" s="3">
        <v>0</v>
      </c>
      <c r="M476" s="3">
        <v>0</v>
      </c>
      <c r="N476" s="3">
        <v>0</v>
      </c>
      <c r="O476" s="3">
        <v>0.86319999999999997</v>
      </c>
      <c r="P476" s="3">
        <v>7.5031999999999996</v>
      </c>
      <c r="Q476">
        <v>3</v>
      </c>
    </row>
    <row r="477" spans="1:17" x14ac:dyDescent="0.25">
      <c r="A477" t="s">
        <v>567</v>
      </c>
      <c r="B477" t="s">
        <v>629</v>
      </c>
      <c r="C477" t="s">
        <v>1</v>
      </c>
      <c r="D477" t="s">
        <v>0</v>
      </c>
      <c r="E477">
        <v>954</v>
      </c>
      <c r="F477" t="s">
        <v>674</v>
      </c>
      <c r="G477" t="s">
        <v>675</v>
      </c>
      <c r="H477" s="3">
        <v>0</v>
      </c>
      <c r="I477" s="3">
        <v>0</v>
      </c>
      <c r="J477" s="3">
        <v>0</v>
      </c>
      <c r="K477" s="3">
        <v>60</v>
      </c>
      <c r="L477" s="3">
        <v>0</v>
      </c>
      <c r="M477" s="3">
        <v>0</v>
      </c>
      <c r="N477" s="3">
        <v>0</v>
      </c>
      <c r="O477" s="3">
        <v>7.8000000000000007</v>
      </c>
      <c r="P477" s="3">
        <v>67.8</v>
      </c>
      <c r="Q477">
        <v>3</v>
      </c>
    </row>
    <row r="478" spans="1:17" x14ac:dyDescent="0.25">
      <c r="A478" t="s">
        <v>567</v>
      </c>
      <c r="B478" t="s">
        <v>629</v>
      </c>
      <c r="C478" t="s">
        <v>1</v>
      </c>
      <c r="D478" t="s">
        <v>0</v>
      </c>
      <c r="E478">
        <v>527</v>
      </c>
      <c r="F478" t="s">
        <v>475</v>
      </c>
      <c r="G478" t="s">
        <v>476</v>
      </c>
      <c r="H478" s="3">
        <v>0</v>
      </c>
      <c r="I478" s="3">
        <v>0</v>
      </c>
      <c r="J478" s="3">
        <v>0</v>
      </c>
      <c r="K478" s="3">
        <v>56.26</v>
      </c>
      <c r="L478" s="3">
        <v>0</v>
      </c>
      <c r="M478" s="3">
        <v>0</v>
      </c>
      <c r="N478" s="3">
        <v>0</v>
      </c>
      <c r="O478" s="3">
        <v>7.3137999999999996</v>
      </c>
      <c r="P478" s="3">
        <v>63.573799999999999</v>
      </c>
      <c r="Q478">
        <v>3</v>
      </c>
    </row>
    <row r="479" spans="1:17" x14ac:dyDescent="0.25">
      <c r="A479" t="s">
        <v>567</v>
      </c>
      <c r="B479" t="s">
        <v>629</v>
      </c>
      <c r="C479" t="s">
        <v>1</v>
      </c>
      <c r="D479" t="s">
        <v>0</v>
      </c>
      <c r="E479">
        <v>523</v>
      </c>
      <c r="F479" t="s">
        <v>475</v>
      </c>
      <c r="G479" t="s">
        <v>476</v>
      </c>
      <c r="H479" s="3">
        <v>0</v>
      </c>
      <c r="I479" s="3">
        <v>0</v>
      </c>
      <c r="J479" s="3">
        <v>0</v>
      </c>
      <c r="K479" s="3">
        <v>32.57</v>
      </c>
      <c r="L479" s="3">
        <v>0</v>
      </c>
      <c r="M479" s="3">
        <v>0</v>
      </c>
      <c r="N479" s="3">
        <v>0</v>
      </c>
      <c r="O479" s="3">
        <v>4.2340999999999998</v>
      </c>
      <c r="P479" s="3">
        <v>36.804099999999998</v>
      </c>
      <c r="Q479">
        <v>3</v>
      </c>
    </row>
    <row r="480" spans="1:17" x14ac:dyDescent="0.25">
      <c r="A480" t="s">
        <v>567</v>
      </c>
      <c r="B480" t="s">
        <v>629</v>
      </c>
      <c r="C480" t="s">
        <v>1</v>
      </c>
      <c r="D480" t="s">
        <v>0</v>
      </c>
      <c r="E480">
        <v>10019</v>
      </c>
      <c r="F480" t="s">
        <v>455</v>
      </c>
      <c r="G480" t="s">
        <v>456</v>
      </c>
      <c r="H480" s="3">
        <v>7.87</v>
      </c>
      <c r="I480" s="3">
        <v>0</v>
      </c>
      <c r="J480" s="3">
        <v>0</v>
      </c>
      <c r="K480" s="3">
        <v>68.260000000000005</v>
      </c>
      <c r="L480" s="3">
        <v>0</v>
      </c>
      <c r="M480" s="3">
        <v>0</v>
      </c>
      <c r="N480" s="3">
        <v>0</v>
      </c>
      <c r="O480" s="3">
        <v>8.873800000000001</v>
      </c>
      <c r="P480" s="3">
        <v>85.003800000000012</v>
      </c>
      <c r="Q480">
        <v>3</v>
      </c>
    </row>
    <row r="481" spans="1:17" x14ac:dyDescent="0.25">
      <c r="A481" t="s">
        <v>567</v>
      </c>
      <c r="B481" t="s">
        <v>629</v>
      </c>
      <c r="C481" t="s">
        <v>1</v>
      </c>
      <c r="D481" t="s">
        <v>0</v>
      </c>
      <c r="E481">
        <v>1382</v>
      </c>
      <c r="F481" t="s">
        <v>552</v>
      </c>
      <c r="G481" t="s">
        <v>553</v>
      </c>
      <c r="H481" s="3">
        <v>0</v>
      </c>
      <c r="I481" s="3">
        <v>0</v>
      </c>
      <c r="J481" s="3">
        <v>0</v>
      </c>
      <c r="K481" s="3">
        <v>26.55</v>
      </c>
      <c r="L481" s="3">
        <v>0</v>
      </c>
      <c r="M481" s="3">
        <v>0</v>
      </c>
      <c r="N481" s="3">
        <v>0</v>
      </c>
      <c r="O481" s="3">
        <v>3.4515000000000002</v>
      </c>
      <c r="P481" s="3">
        <v>30.0015</v>
      </c>
      <c r="Q481">
        <v>3</v>
      </c>
    </row>
    <row r="482" spans="1:17" x14ac:dyDescent="0.25">
      <c r="A482" t="s">
        <v>567</v>
      </c>
      <c r="B482" t="s">
        <v>629</v>
      </c>
      <c r="C482" t="s">
        <v>1</v>
      </c>
      <c r="D482" t="s">
        <v>0</v>
      </c>
      <c r="E482">
        <v>165897</v>
      </c>
      <c r="F482" t="s">
        <v>425</v>
      </c>
      <c r="G482" t="s">
        <v>426</v>
      </c>
      <c r="H482" s="3">
        <v>2.1799999999999997</v>
      </c>
      <c r="I482" s="3">
        <v>0</v>
      </c>
      <c r="J482" s="3">
        <v>0</v>
      </c>
      <c r="K482" s="3">
        <v>19.309999999999999</v>
      </c>
      <c r="L482" s="3">
        <v>0</v>
      </c>
      <c r="M482" s="3">
        <v>0</v>
      </c>
      <c r="N482" s="3">
        <v>0</v>
      </c>
      <c r="O482" s="3">
        <v>2.5103</v>
      </c>
      <c r="P482" s="3">
        <v>24.000299999999999</v>
      </c>
      <c r="Q482">
        <v>3</v>
      </c>
    </row>
    <row r="483" spans="1:17" x14ac:dyDescent="0.25">
      <c r="A483" t="s">
        <v>567</v>
      </c>
      <c r="B483" t="s">
        <v>629</v>
      </c>
      <c r="C483" t="s">
        <v>1</v>
      </c>
      <c r="D483" t="s">
        <v>0</v>
      </c>
      <c r="E483">
        <v>49391</v>
      </c>
      <c r="F483" t="s">
        <v>418</v>
      </c>
      <c r="G483" t="s">
        <v>419</v>
      </c>
      <c r="H483" s="3">
        <v>7.73</v>
      </c>
      <c r="I483" s="3">
        <v>0</v>
      </c>
      <c r="J483" s="3">
        <v>0</v>
      </c>
      <c r="K483" s="3">
        <v>69.150000000000006</v>
      </c>
      <c r="L483" s="3">
        <v>0</v>
      </c>
      <c r="M483" s="3">
        <v>0</v>
      </c>
      <c r="N483" s="3">
        <v>0</v>
      </c>
      <c r="O483" s="3">
        <v>8.9895000000000014</v>
      </c>
      <c r="P483" s="3">
        <v>85.869500000000016</v>
      </c>
      <c r="Q483">
        <v>3</v>
      </c>
    </row>
    <row r="484" spans="1:17" x14ac:dyDescent="0.25">
      <c r="A484" t="s">
        <v>567</v>
      </c>
      <c r="B484" t="s">
        <v>628</v>
      </c>
      <c r="C484" t="s">
        <v>1</v>
      </c>
      <c r="D484" t="s">
        <v>0</v>
      </c>
      <c r="E484">
        <v>166083</v>
      </c>
      <c r="F484" t="s">
        <v>425</v>
      </c>
      <c r="G484" t="s">
        <v>426</v>
      </c>
      <c r="H484" s="3">
        <v>2.72</v>
      </c>
      <c r="I484" s="3">
        <v>0</v>
      </c>
      <c r="J484" s="3">
        <v>0</v>
      </c>
      <c r="K484" s="3">
        <v>24.14</v>
      </c>
      <c r="L484" s="3">
        <v>0</v>
      </c>
      <c r="M484" s="3">
        <v>0</v>
      </c>
      <c r="N484" s="3">
        <v>0</v>
      </c>
      <c r="O484" s="3">
        <v>3.1382000000000003</v>
      </c>
      <c r="P484" s="3">
        <v>29.998200000000001</v>
      </c>
      <c r="Q484">
        <v>3</v>
      </c>
    </row>
    <row r="485" spans="1:17" x14ac:dyDescent="0.25">
      <c r="A485" t="s">
        <v>567</v>
      </c>
      <c r="B485" t="s">
        <v>628</v>
      </c>
      <c r="C485" t="s">
        <v>1</v>
      </c>
      <c r="D485" t="s">
        <v>0</v>
      </c>
      <c r="E485">
        <v>166095</v>
      </c>
      <c r="F485" t="s">
        <v>425</v>
      </c>
      <c r="G485" t="s">
        <v>426</v>
      </c>
      <c r="H485" s="3">
        <v>5.08</v>
      </c>
      <c r="I485" s="3">
        <v>0</v>
      </c>
      <c r="J485" s="3">
        <v>0</v>
      </c>
      <c r="K485" s="3">
        <v>45.06</v>
      </c>
      <c r="L485" s="3">
        <v>0</v>
      </c>
      <c r="M485" s="3">
        <v>0</v>
      </c>
      <c r="N485" s="3">
        <v>0</v>
      </c>
      <c r="O485" s="3">
        <v>5.8578000000000001</v>
      </c>
      <c r="P485" s="3">
        <v>55.997799999999998</v>
      </c>
      <c r="Q485">
        <v>3</v>
      </c>
    </row>
    <row r="486" spans="1:17" x14ac:dyDescent="0.25">
      <c r="A486" t="s">
        <v>567</v>
      </c>
      <c r="B486" t="s">
        <v>643</v>
      </c>
      <c r="C486" t="s">
        <v>1</v>
      </c>
      <c r="D486" t="s">
        <v>0</v>
      </c>
      <c r="E486">
        <v>49758</v>
      </c>
      <c r="F486" t="s">
        <v>418</v>
      </c>
      <c r="G486" t="s">
        <v>419</v>
      </c>
      <c r="H486" s="3">
        <v>8.5500000000000007</v>
      </c>
      <c r="I486" s="3">
        <v>0</v>
      </c>
      <c r="J486" s="3">
        <v>0</v>
      </c>
      <c r="K486" s="3">
        <v>76.5</v>
      </c>
      <c r="L486" s="3">
        <v>0</v>
      </c>
      <c r="M486" s="3">
        <v>0</v>
      </c>
      <c r="N486" s="3">
        <v>0</v>
      </c>
      <c r="O486" s="3">
        <v>9.9450000000000003</v>
      </c>
      <c r="P486" s="3">
        <v>94.995000000000005</v>
      </c>
      <c r="Q486">
        <v>3</v>
      </c>
    </row>
    <row r="487" spans="1:17" x14ac:dyDescent="0.25">
      <c r="A487" t="s">
        <v>567</v>
      </c>
      <c r="B487" t="s">
        <v>651</v>
      </c>
      <c r="C487" t="s">
        <v>1</v>
      </c>
      <c r="D487" t="s">
        <v>0</v>
      </c>
      <c r="E487">
        <v>317935</v>
      </c>
      <c r="F487" t="s">
        <v>477</v>
      </c>
      <c r="G487" t="s">
        <v>478</v>
      </c>
      <c r="H487" s="3">
        <v>0</v>
      </c>
      <c r="I487" s="3">
        <v>0</v>
      </c>
      <c r="J487" s="3">
        <v>0</v>
      </c>
      <c r="K487" s="3">
        <v>158.63999999999999</v>
      </c>
      <c r="L487" s="3">
        <v>0</v>
      </c>
      <c r="M487" s="3">
        <v>0</v>
      </c>
      <c r="N487" s="3">
        <v>0</v>
      </c>
      <c r="O487" s="3">
        <v>20.623200000000001</v>
      </c>
      <c r="P487" s="3">
        <v>179.26319999999998</v>
      </c>
      <c r="Q487">
        <v>3</v>
      </c>
    </row>
    <row r="488" spans="1:17" x14ac:dyDescent="0.25">
      <c r="A488" t="s">
        <v>567</v>
      </c>
      <c r="B488" t="s">
        <v>651</v>
      </c>
      <c r="C488" t="s">
        <v>1</v>
      </c>
      <c r="D488" t="s">
        <v>0</v>
      </c>
      <c r="E488">
        <v>541</v>
      </c>
      <c r="F488" t="s">
        <v>475</v>
      </c>
      <c r="G488" t="s">
        <v>476</v>
      </c>
      <c r="H488" s="3">
        <v>0</v>
      </c>
      <c r="I488" s="3">
        <v>0</v>
      </c>
      <c r="J488" s="3">
        <v>0</v>
      </c>
      <c r="K488" s="3">
        <v>56.26</v>
      </c>
      <c r="L488" s="3">
        <v>0</v>
      </c>
      <c r="M488" s="3">
        <v>0</v>
      </c>
      <c r="N488" s="3">
        <v>0</v>
      </c>
      <c r="O488" s="3">
        <v>7.3137999999999996</v>
      </c>
      <c r="P488" s="3">
        <v>63.573799999999999</v>
      </c>
      <c r="Q488">
        <v>3</v>
      </c>
    </row>
    <row r="489" spans="1:17" x14ac:dyDescent="0.25">
      <c r="A489" t="s">
        <v>567</v>
      </c>
      <c r="B489" t="s">
        <v>651</v>
      </c>
      <c r="C489" t="s">
        <v>1</v>
      </c>
      <c r="D489" t="s">
        <v>0</v>
      </c>
      <c r="E489">
        <v>540</v>
      </c>
      <c r="F489" t="s">
        <v>475</v>
      </c>
      <c r="G489" t="s">
        <v>476</v>
      </c>
      <c r="H489" s="3">
        <v>0</v>
      </c>
      <c r="I489" s="3">
        <v>0</v>
      </c>
      <c r="J489" s="3">
        <v>0</v>
      </c>
      <c r="K489" s="3">
        <v>56.26</v>
      </c>
      <c r="L489" s="3">
        <v>0</v>
      </c>
      <c r="M489" s="3">
        <v>0</v>
      </c>
      <c r="N489" s="3">
        <v>0</v>
      </c>
      <c r="O489" s="3">
        <v>7.3137999999999996</v>
      </c>
      <c r="P489" s="3">
        <v>63.573799999999999</v>
      </c>
      <c r="Q489">
        <v>3</v>
      </c>
    </row>
    <row r="490" spans="1:17" x14ac:dyDescent="0.25">
      <c r="A490" t="s">
        <v>567</v>
      </c>
      <c r="B490" t="s">
        <v>651</v>
      </c>
      <c r="C490" t="s">
        <v>1</v>
      </c>
      <c r="D490" t="s">
        <v>0</v>
      </c>
      <c r="E490">
        <v>530</v>
      </c>
      <c r="F490" t="s">
        <v>475</v>
      </c>
      <c r="G490" t="s">
        <v>476</v>
      </c>
      <c r="H490" s="3">
        <v>0</v>
      </c>
      <c r="I490" s="3">
        <v>0</v>
      </c>
      <c r="J490" s="3">
        <v>0</v>
      </c>
      <c r="K490" s="3">
        <v>50.54</v>
      </c>
      <c r="L490" s="3">
        <v>0</v>
      </c>
      <c r="M490" s="3">
        <v>0</v>
      </c>
      <c r="N490" s="3">
        <v>0</v>
      </c>
      <c r="O490" s="3">
        <v>6.5701999999999998</v>
      </c>
      <c r="P490" s="3">
        <v>57.110199999999999</v>
      </c>
      <c r="Q490">
        <v>3</v>
      </c>
    </row>
    <row r="491" spans="1:17" x14ac:dyDescent="0.25">
      <c r="A491" t="s">
        <v>567</v>
      </c>
      <c r="B491" t="s">
        <v>651</v>
      </c>
      <c r="C491" t="s">
        <v>1</v>
      </c>
      <c r="D491" t="s">
        <v>0</v>
      </c>
      <c r="E491">
        <v>478133</v>
      </c>
      <c r="F491" t="s">
        <v>113</v>
      </c>
      <c r="G491" t="s">
        <v>114</v>
      </c>
      <c r="H491" s="3">
        <v>0</v>
      </c>
      <c r="I491" s="3">
        <v>0</v>
      </c>
      <c r="J491" s="3">
        <v>0</v>
      </c>
      <c r="K491" s="3">
        <v>34.020000000000003</v>
      </c>
      <c r="L491" s="3">
        <v>0</v>
      </c>
      <c r="M491" s="3">
        <v>0</v>
      </c>
      <c r="N491" s="3">
        <v>0</v>
      </c>
      <c r="O491" s="3">
        <v>4.422600000000001</v>
      </c>
      <c r="P491" s="3">
        <v>38.442600000000006</v>
      </c>
      <c r="Q491">
        <v>3</v>
      </c>
    </row>
    <row r="492" spans="1:17" x14ac:dyDescent="0.25">
      <c r="A492" t="s">
        <v>567</v>
      </c>
      <c r="B492" t="s">
        <v>651</v>
      </c>
      <c r="C492" t="s">
        <v>1</v>
      </c>
      <c r="D492" t="s">
        <v>0</v>
      </c>
      <c r="E492">
        <v>501842</v>
      </c>
      <c r="F492" t="s">
        <v>103</v>
      </c>
      <c r="G492" t="s">
        <v>104</v>
      </c>
      <c r="H492" s="3">
        <v>0</v>
      </c>
      <c r="I492" s="3">
        <v>0</v>
      </c>
      <c r="J492" s="3">
        <v>0</v>
      </c>
      <c r="K492" s="3">
        <v>80.959999999999994</v>
      </c>
      <c r="L492" s="3">
        <v>0</v>
      </c>
      <c r="M492" s="3">
        <v>0</v>
      </c>
      <c r="N492" s="3">
        <v>0</v>
      </c>
      <c r="O492" s="3">
        <v>10.524799999999999</v>
      </c>
      <c r="P492" s="3">
        <v>91.484799999999993</v>
      </c>
      <c r="Q492">
        <v>3</v>
      </c>
    </row>
    <row r="493" spans="1:17" x14ac:dyDescent="0.25">
      <c r="A493" t="s">
        <v>567</v>
      </c>
      <c r="B493" t="s">
        <v>651</v>
      </c>
      <c r="C493" t="s">
        <v>1</v>
      </c>
      <c r="D493" t="s">
        <v>0</v>
      </c>
      <c r="E493">
        <v>14221</v>
      </c>
      <c r="F493" t="s">
        <v>453</v>
      </c>
      <c r="G493" t="s">
        <v>454</v>
      </c>
      <c r="H493" s="3">
        <v>0</v>
      </c>
      <c r="I493" s="3">
        <v>0</v>
      </c>
      <c r="J493" s="3">
        <v>0</v>
      </c>
      <c r="K493" s="3">
        <v>21.15</v>
      </c>
      <c r="L493" s="3">
        <v>0</v>
      </c>
      <c r="M493" s="3">
        <v>0</v>
      </c>
      <c r="N493" s="3">
        <v>0</v>
      </c>
      <c r="O493" s="3">
        <v>2.7494999999999998</v>
      </c>
      <c r="P493" s="3">
        <v>23.8995</v>
      </c>
      <c r="Q493">
        <v>3</v>
      </c>
    </row>
    <row r="494" spans="1:17" x14ac:dyDescent="0.25">
      <c r="A494" t="s">
        <v>567</v>
      </c>
      <c r="B494" t="s">
        <v>651</v>
      </c>
      <c r="C494" t="s">
        <v>1</v>
      </c>
      <c r="D494" t="s">
        <v>0</v>
      </c>
      <c r="E494">
        <v>71885</v>
      </c>
      <c r="F494" t="s">
        <v>656</v>
      </c>
      <c r="G494" t="s">
        <v>657</v>
      </c>
      <c r="H494" s="3">
        <v>0</v>
      </c>
      <c r="I494" s="3">
        <v>0</v>
      </c>
      <c r="J494" s="3">
        <v>0</v>
      </c>
      <c r="K494" s="3">
        <v>180.17</v>
      </c>
      <c r="L494" s="3">
        <v>0</v>
      </c>
      <c r="M494" s="3">
        <v>0</v>
      </c>
      <c r="N494" s="3">
        <v>0</v>
      </c>
      <c r="O494" s="3">
        <v>23.4221</v>
      </c>
      <c r="P494" s="3">
        <v>203.59209999999999</v>
      </c>
      <c r="Q494">
        <v>3</v>
      </c>
    </row>
    <row r="495" spans="1:17" x14ac:dyDescent="0.25">
      <c r="A495" t="s">
        <v>567</v>
      </c>
      <c r="B495" t="s">
        <v>651</v>
      </c>
      <c r="C495" t="s">
        <v>1</v>
      </c>
      <c r="D495" t="s">
        <v>0</v>
      </c>
      <c r="E495">
        <v>166355</v>
      </c>
      <c r="F495" t="s">
        <v>425</v>
      </c>
      <c r="G495" t="s">
        <v>426</v>
      </c>
      <c r="H495" s="3">
        <v>3.57</v>
      </c>
      <c r="I495" s="3">
        <v>0</v>
      </c>
      <c r="J495" s="3">
        <v>0</v>
      </c>
      <c r="K495" s="3">
        <v>31.74</v>
      </c>
      <c r="L495" s="3">
        <v>0</v>
      </c>
      <c r="M495" s="3">
        <v>0</v>
      </c>
      <c r="N495" s="3">
        <v>0</v>
      </c>
      <c r="O495" s="3">
        <v>4.1261999999999999</v>
      </c>
      <c r="P495" s="3">
        <v>39.436199999999992</v>
      </c>
      <c r="Q495">
        <v>3</v>
      </c>
    </row>
    <row r="496" spans="1:17" x14ac:dyDescent="0.25">
      <c r="A496" t="s">
        <v>567</v>
      </c>
      <c r="B496" t="s">
        <v>542</v>
      </c>
      <c r="C496" t="s">
        <v>1</v>
      </c>
      <c r="D496" t="s">
        <v>0</v>
      </c>
      <c r="E496">
        <v>23846</v>
      </c>
      <c r="F496" t="s">
        <v>455</v>
      </c>
      <c r="G496" t="s">
        <v>456</v>
      </c>
      <c r="H496" s="3">
        <v>3.83</v>
      </c>
      <c r="I496" s="3">
        <v>0</v>
      </c>
      <c r="J496" s="3">
        <v>0</v>
      </c>
      <c r="K496" s="3">
        <v>32.01</v>
      </c>
      <c r="L496" s="3">
        <v>0</v>
      </c>
      <c r="M496" s="3">
        <v>0</v>
      </c>
      <c r="N496" s="3">
        <v>0</v>
      </c>
      <c r="O496" s="3">
        <v>4.1612999999999998</v>
      </c>
      <c r="P496" s="3">
        <v>40.001299999999993</v>
      </c>
      <c r="Q496">
        <v>3</v>
      </c>
    </row>
    <row r="497" spans="1:17" x14ac:dyDescent="0.25">
      <c r="A497" t="s">
        <v>567</v>
      </c>
      <c r="B497" t="s">
        <v>627</v>
      </c>
      <c r="C497" t="s">
        <v>1</v>
      </c>
      <c r="D497" t="s">
        <v>0</v>
      </c>
      <c r="E497">
        <v>555</v>
      </c>
      <c r="F497" t="s">
        <v>475</v>
      </c>
      <c r="G497" t="s">
        <v>476</v>
      </c>
      <c r="H497" s="3">
        <v>0</v>
      </c>
      <c r="I497" s="3">
        <v>0</v>
      </c>
      <c r="J497" s="3">
        <v>0</v>
      </c>
      <c r="K497" s="3">
        <v>65.14</v>
      </c>
      <c r="L497" s="3">
        <v>0</v>
      </c>
      <c r="M497" s="3">
        <v>0</v>
      </c>
      <c r="N497" s="3">
        <v>0</v>
      </c>
      <c r="O497" s="3">
        <v>8.4681999999999995</v>
      </c>
      <c r="P497" s="3">
        <v>73.608199999999997</v>
      </c>
      <c r="Q497">
        <v>3</v>
      </c>
    </row>
    <row r="498" spans="1:17" x14ac:dyDescent="0.25">
      <c r="A498" t="s">
        <v>567</v>
      </c>
      <c r="B498" t="s">
        <v>627</v>
      </c>
      <c r="C498" t="s">
        <v>1</v>
      </c>
      <c r="D498" t="s">
        <v>0</v>
      </c>
      <c r="E498">
        <v>553</v>
      </c>
      <c r="F498" t="s">
        <v>475</v>
      </c>
      <c r="G498" t="s">
        <v>476</v>
      </c>
      <c r="H498" s="3">
        <v>0</v>
      </c>
      <c r="I498" s="3">
        <v>0</v>
      </c>
      <c r="J498" s="3">
        <v>0</v>
      </c>
      <c r="K498" s="3">
        <v>50.26</v>
      </c>
      <c r="L498" s="3">
        <v>0</v>
      </c>
      <c r="M498" s="3">
        <v>0</v>
      </c>
      <c r="N498" s="3">
        <v>0</v>
      </c>
      <c r="O498" s="3">
        <v>6.5338000000000003</v>
      </c>
      <c r="P498" s="3">
        <v>56.793799999999997</v>
      </c>
      <c r="Q498">
        <v>3</v>
      </c>
    </row>
    <row r="499" spans="1:17" x14ac:dyDescent="0.25">
      <c r="A499" t="s">
        <v>567</v>
      </c>
      <c r="B499" t="s">
        <v>627</v>
      </c>
      <c r="C499" t="s">
        <v>1</v>
      </c>
      <c r="D499" t="s">
        <v>0</v>
      </c>
      <c r="E499">
        <v>547</v>
      </c>
      <c r="F499" t="s">
        <v>475</v>
      </c>
      <c r="G499" t="s">
        <v>476</v>
      </c>
      <c r="H499" s="3">
        <v>0</v>
      </c>
      <c r="I499" s="3">
        <v>0</v>
      </c>
      <c r="J499" s="3">
        <v>0</v>
      </c>
      <c r="K499" s="3">
        <v>39.31</v>
      </c>
      <c r="L499" s="3">
        <v>0</v>
      </c>
      <c r="M499" s="3">
        <v>0</v>
      </c>
      <c r="N499" s="3">
        <v>0</v>
      </c>
      <c r="O499" s="3">
        <v>5.1103000000000005</v>
      </c>
      <c r="P499" s="3">
        <v>44.420300000000005</v>
      </c>
      <c r="Q499">
        <v>3</v>
      </c>
    </row>
    <row r="500" spans="1:17" x14ac:dyDescent="0.25">
      <c r="A500" t="s">
        <v>567</v>
      </c>
      <c r="B500" t="s">
        <v>627</v>
      </c>
      <c r="C500" t="s">
        <v>1</v>
      </c>
      <c r="D500" t="s">
        <v>0</v>
      </c>
      <c r="E500">
        <v>14303</v>
      </c>
      <c r="F500" t="s">
        <v>453</v>
      </c>
      <c r="G500" t="s">
        <v>454</v>
      </c>
      <c r="H500" s="3">
        <v>0</v>
      </c>
      <c r="I500" s="3">
        <v>0</v>
      </c>
      <c r="J500" s="3">
        <v>0</v>
      </c>
      <c r="K500" s="3">
        <v>315</v>
      </c>
      <c r="L500" s="3">
        <v>0</v>
      </c>
      <c r="M500" s="3">
        <v>0</v>
      </c>
      <c r="N500" s="3">
        <v>0</v>
      </c>
      <c r="O500" s="3">
        <v>40.950000000000003</v>
      </c>
      <c r="P500" s="3">
        <v>355.95</v>
      </c>
      <c r="Q500">
        <v>3</v>
      </c>
    </row>
    <row r="501" spans="1:17" x14ac:dyDescent="0.25">
      <c r="A501" t="s">
        <v>567</v>
      </c>
      <c r="B501" t="s">
        <v>627</v>
      </c>
      <c r="C501" t="s">
        <v>1</v>
      </c>
      <c r="D501" t="s">
        <v>0</v>
      </c>
      <c r="E501">
        <v>49937</v>
      </c>
      <c r="F501" t="s">
        <v>418</v>
      </c>
      <c r="G501" t="s">
        <v>419</v>
      </c>
      <c r="H501" s="3">
        <v>13.31</v>
      </c>
      <c r="I501" s="3">
        <v>0</v>
      </c>
      <c r="J501" s="3">
        <v>0</v>
      </c>
      <c r="K501" s="3">
        <v>119.05</v>
      </c>
      <c r="L501" s="3">
        <v>0</v>
      </c>
      <c r="M501" s="3">
        <v>0</v>
      </c>
      <c r="N501" s="3">
        <v>0</v>
      </c>
      <c r="O501" s="3">
        <v>15.4765</v>
      </c>
      <c r="P501" s="3">
        <v>147.83649999999997</v>
      </c>
      <c r="Q501">
        <v>3</v>
      </c>
    </row>
    <row r="502" spans="1:17" x14ac:dyDescent="0.25">
      <c r="A502" t="s">
        <v>567</v>
      </c>
      <c r="B502" t="s">
        <v>627</v>
      </c>
      <c r="C502" t="s">
        <v>1</v>
      </c>
      <c r="D502" t="s">
        <v>0</v>
      </c>
      <c r="E502">
        <v>50341</v>
      </c>
      <c r="F502" t="s">
        <v>418</v>
      </c>
      <c r="G502" t="s">
        <v>419</v>
      </c>
      <c r="H502" s="3">
        <v>10.99</v>
      </c>
      <c r="I502" s="3">
        <v>0</v>
      </c>
      <c r="J502" s="3">
        <v>0</v>
      </c>
      <c r="K502" s="3">
        <v>98.21</v>
      </c>
      <c r="L502" s="3">
        <v>0</v>
      </c>
      <c r="M502" s="3">
        <v>0</v>
      </c>
      <c r="N502" s="3">
        <v>0</v>
      </c>
      <c r="O502" s="3">
        <v>12.767299999999999</v>
      </c>
      <c r="P502" s="3">
        <v>121.96729999999999</v>
      </c>
      <c r="Q502">
        <v>3</v>
      </c>
    </row>
    <row r="503" spans="1:17" x14ac:dyDescent="0.25">
      <c r="A503" t="s">
        <v>567</v>
      </c>
      <c r="B503" t="s">
        <v>642</v>
      </c>
      <c r="C503" t="s">
        <v>1</v>
      </c>
      <c r="D503" t="s">
        <v>0</v>
      </c>
      <c r="E503">
        <v>50477</v>
      </c>
      <c r="F503" t="s">
        <v>418</v>
      </c>
      <c r="G503" t="s">
        <v>419</v>
      </c>
      <c r="H503" s="3">
        <v>12.55</v>
      </c>
      <c r="I503" s="3">
        <v>0</v>
      </c>
      <c r="J503" s="3">
        <v>0</v>
      </c>
      <c r="K503" s="3">
        <v>112.14</v>
      </c>
      <c r="L503" s="3">
        <v>0</v>
      </c>
      <c r="M503" s="3">
        <v>0</v>
      </c>
      <c r="N503" s="3">
        <v>0</v>
      </c>
      <c r="O503" s="3">
        <v>14.578200000000001</v>
      </c>
      <c r="P503" s="3">
        <v>139.26820000000001</v>
      </c>
      <c r="Q503">
        <v>3</v>
      </c>
    </row>
    <row r="504" spans="1:17" x14ac:dyDescent="0.25">
      <c r="A504" t="s">
        <v>567</v>
      </c>
      <c r="B504" t="s">
        <v>641</v>
      </c>
      <c r="C504" t="s">
        <v>1</v>
      </c>
      <c r="D504" t="s">
        <v>0</v>
      </c>
      <c r="E504">
        <v>12542</v>
      </c>
      <c r="F504" t="s">
        <v>455</v>
      </c>
      <c r="G504" t="s">
        <v>456</v>
      </c>
      <c r="H504" s="3">
        <v>7.87</v>
      </c>
      <c r="I504" s="3">
        <v>0</v>
      </c>
      <c r="J504" s="3">
        <v>0</v>
      </c>
      <c r="K504" s="3">
        <v>72.69</v>
      </c>
      <c r="L504" s="3">
        <v>0</v>
      </c>
      <c r="M504" s="3">
        <v>0</v>
      </c>
      <c r="N504" s="3">
        <v>0</v>
      </c>
      <c r="O504" s="3">
        <v>9.4497</v>
      </c>
      <c r="P504" s="3">
        <v>90.009700000000009</v>
      </c>
      <c r="Q504">
        <v>3</v>
      </c>
    </row>
    <row r="505" spans="1:17" x14ac:dyDescent="0.25">
      <c r="A505" t="s">
        <v>567</v>
      </c>
      <c r="B505" t="s">
        <v>641</v>
      </c>
      <c r="C505" t="s">
        <v>1</v>
      </c>
      <c r="D505" t="s">
        <v>0</v>
      </c>
      <c r="E505">
        <v>10911</v>
      </c>
      <c r="F505" t="s">
        <v>455</v>
      </c>
      <c r="G505" t="s">
        <v>456</v>
      </c>
      <c r="H505" s="3">
        <v>12.5</v>
      </c>
      <c r="I505" s="3">
        <v>0</v>
      </c>
      <c r="J505" s="3">
        <v>0</v>
      </c>
      <c r="K505" s="3">
        <v>108.41</v>
      </c>
      <c r="L505" s="3">
        <v>0</v>
      </c>
      <c r="M505" s="3">
        <v>0</v>
      </c>
      <c r="N505" s="3">
        <v>0</v>
      </c>
      <c r="O505" s="3">
        <v>14.093299999999999</v>
      </c>
      <c r="P505" s="3">
        <v>135.0033</v>
      </c>
      <c r="Q505">
        <v>3</v>
      </c>
    </row>
    <row r="506" spans="1:17" x14ac:dyDescent="0.25">
      <c r="A506" t="s">
        <v>567</v>
      </c>
      <c r="B506" t="s">
        <v>641</v>
      </c>
      <c r="C506" t="s">
        <v>1</v>
      </c>
      <c r="D506" t="s">
        <v>0</v>
      </c>
      <c r="E506">
        <v>10912</v>
      </c>
      <c r="F506" t="s">
        <v>455</v>
      </c>
      <c r="G506" t="s">
        <v>456</v>
      </c>
      <c r="H506" s="3">
        <v>7.87</v>
      </c>
      <c r="I506" s="3">
        <v>0</v>
      </c>
      <c r="J506" s="3">
        <v>0</v>
      </c>
      <c r="K506" s="3">
        <v>68.260000000000005</v>
      </c>
      <c r="L506" s="3">
        <v>0</v>
      </c>
      <c r="M506" s="3">
        <v>0</v>
      </c>
      <c r="N506" s="3">
        <v>0</v>
      </c>
      <c r="O506" s="3">
        <v>8.873800000000001</v>
      </c>
      <c r="P506" s="3">
        <v>85.003800000000012</v>
      </c>
      <c r="Q506">
        <v>3</v>
      </c>
    </row>
    <row r="507" spans="1:17" x14ac:dyDescent="0.25">
      <c r="A507" t="s">
        <v>567</v>
      </c>
      <c r="B507" t="s">
        <v>641</v>
      </c>
      <c r="C507" t="s">
        <v>1</v>
      </c>
      <c r="D507" t="s">
        <v>0</v>
      </c>
      <c r="E507">
        <v>14392</v>
      </c>
      <c r="F507" t="s">
        <v>453</v>
      </c>
      <c r="G507" t="s">
        <v>454</v>
      </c>
      <c r="H507" s="3">
        <v>0</v>
      </c>
      <c r="I507" s="3">
        <v>0</v>
      </c>
      <c r="J507" s="3">
        <v>0</v>
      </c>
      <c r="K507" s="3">
        <v>24.3</v>
      </c>
      <c r="L507" s="3">
        <v>0</v>
      </c>
      <c r="M507" s="3">
        <v>0</v>
      </c>
      <c r="N507" s="3">
        <v>0</v>
      </c>
      <c r="O507" s="3">
        <v>3.1590000000000003</v>
      </c>
      <c r="P507" s="3">
        <v>27.459</v>
      </c>
      <c r="Q507">
        <v>3</v>
      </c>
    </row>
    <row r="508" spans="1:17" x14ac:dyDescent="0.25">
      <c r="A508" t="s">
        <v>567</v>
      </c>
      <c r="B508" t="s">
        <v>641</v>
      </c>
      <c r="C508" t="s">
        <v>1</v>
      </c>
      <c r="D508" t="s">
        <v>0</v>
      </c>
      <c r="E508">
        <v>31424765</v>
      </c>
      <c r="F508" t="s">
        <v>557</v>
      </c>
      <c r="G508" t="s">
        <v>558</v>
      </c>
      <c r="H508" s="3">
        <v>0</v>
      </c>
      <c r="I508" s="3">
        <v>0</v>
      </c>
      <c r="J508" s="3">
        <v>0</v>
      </c>
      <c r="K508" s="3">
        <v>28.44</v>
      </c>
      <c r="L508" s="3">
        <v>0</v>
      </c>
      <c r="M508" s="3">
        <v>0</v>
      </c>
      <c r="N508" s="3">
        <v>0</v>
      </c>
      <c r="O508" s="3">
        <v>3.6972000000000005</v>
      </c>
      <c r="P508" s="3">
        <v>32.1372</v>
      </c>
      <c r="Q508">
        <v>3</v>
      </c>
    </row>
    <row r="509" spans="1:17" x14ac:dyDescent="0.25">
      <c r="A509" t="s">
        <v>567</v>
      </c>
      <c r="B509" t="s">
        <v>641</v>
      </c>
      <c r="C509" t="s">
        <v>1</v>
      </c>
      <c r="D509" t="s">
        <v>0</v>
      </c>
      <c r="E509">
        <v>220</v>
      </c>
      <c r="F509" t="s">
        <v>663</v>
      </c>
      <c r="G509" t="s">
        <v>664</v>
      </c>
      <c r="H509" s="3">
        <v>0</v>
      </c>
      <c r="I509" s="3">
        <v>0</v>
      </c>
      <c r="J509" s="3">
        <v>0</v>
      </c>
      <c r="K509" s="3">
        <v>113.27</v>
      </c>
      <c r="L509" s="3">
        <v>0</v>
      </c>
      <c r="M509" s="3">
        <v>0</v>
      </c>
      <c r="N509" s="3">
        <v>0</v>
      </c>
      <c r="O509" s="3">
        <v>14.725099999999999</v>
      </c>
      <c r="P509" s="3">
        <v>127.99509999999999</v>
      </c>
      <c r="Q509">
        <v>3</v>
      </c>
    </row>
    <row r="510" spans="1:17" x14ac:dyDescent="0.25">
      <c r="A510" t="s">
        <v>567</v>
      </c>
      <c r="B510" t="s">
        <v>641</v>
      </c>
      <c r="C510" t="s">
        <v>1</v>
      </c>
      <c r="D510" t="s">
        <v>0</v>
      </c>
      <c r="E510">
        <v>303</v>
      </c>
      <c r="F510" t="s">
        <v>489</v>
      </c>
      <c r="G510" t="s">
        <v>490</v>
      </c>
      <c r="H510" s="3">
        <v>0</v>
      </c>
      <c r="I510" s="3">
        <v>0</v>
      </c>
      <c r="J510" s="3">
        <v>0</v>
      </c>
      <c r="K510" s="3">
        <v>5.75</v>
      </c>
      <c r="L510" s="3">
        <v>0</v>
      </c>
      <c r="M510" s="3">
        <v>0</v>
      </c>
      <c r="N510" s="3">
        <v>0</v>
      </c>
      <c r="O510" s="3">
        <v>0.74750000000000005</v>
      </c>
      <c r="P510" s="3">
        <v>6.4975000000000005</v>
      </c>
      <c r="Q510">
        <v>3</v>
      </c>
    </row>
    <row r="511" spans="1:17" x14ac:dyDescent="0.25">
      <c r="A511" t="s">
        <v>567</v>
      </c>
      <c r="B511" t="s">
        <v>641</v>
      </c>
      <c r="C511" t="s">
        <v>1</v>
      </c>
      <c r="D511" t="s">
        <v>0</v>
      </c>
      <c r="E511">
        <v>50874</v>
      </c>
      <c r="F511" t="s">
        <v>418</v>
      </c>
      <c r="G511" t="s">
        <v>419</v>
      </c>
      <c r="H511" s="3">
        <v>9.42</v>
      </c>
      <c r="I511" s="3">
        <v>0</v>
      </c>
      <c r="J511" s="3">
        <v>0</v>
      </c>
      <c r="K511" s="3">
        <v>84.27</v>
      </c>
      <c r="L511" s="3">
        <v>0</v>
      </c>
      <c r="M511" s="3">
        <v>0</v>
      </c>
      <c r="N511" s="3">
        <v>0</v>
      </c>
      <c r="O511" s="3">
        <v>10.9551</v>
      </c>
      <c r="P511" s="3">
        <v>104.6451</v>
      </c>
      <c r="Q511">
        <v>3</v>
      </c>
    </row>
    <row r="512" spans="1:17" x14ac:dyDescent="0.25">
      <c r="A512" t="s">
        <v>567</v>
      </c>
      <c r="B512" t="s">
        <v>640</v>
      </c>
      <c r="C512" t="s">
        <v>1</v>
      </c>
      <c r="D512" t="s">
        <v>0</v>
      </c>
      <c r="E512">
        <v>141</v>
      </c>
      <c r="F512" t="s">
        <v>565</v>
      </c>
      <c r="G512" t="s">
        <v>566</v>
      </c>
      <c r="H512" s="3">
        <v>0</v>
      </c>
      <c r="I512" s="3">
        <v>0</v>
      </c>
      <c r="J512" s="3">
        <v>0</v>
      </c>
      <c r="K512" s="3">
        <v>43.5</v>
      </c>
      <c r="L512" s="3">
        <v>0</v>
      </c>
      <c r="M512" s="3">
        <v>0</v>
      </c>
      <c r="N512" s="3">
        <v>0</v>
      </c>
      <c r="O512" s="3">
        <v>5.6550000000000002</v>
      </c>
      <c r="P512" s="3">
        <v>49.155000000000001</v>
      </c>
      <c r="Q512">
        <v>3</v>
      </c>
    </row>
    <row r="513" spans="1:17" x14ac:dyDescent="0.25">
      <c r="A513" t="s">
        <v>567</v>
      </c>
      <c r="B513" t="s">
        <v>640</v>
      </c>
      <c r="C513" t="s">
        <v>1</v>
      </c>
      <c r="D513" t="s">
        <v>0</v>
      </c>
      <c r="E513">
        <v>577</v>
      </c>
      <c r="F513" t="s">
        <v>475</v>
      </c>
      <c r="G513" t="s">
        <v>476</v>
      </c>
      <c r="H513" s="3">
        <v>0</v>
      </c>
      <c r="I513" s="3">
        <v>0</v>
      </c>
      <c r="J513" s="3">
        <v>0</v>
      </c>
      <c r="K513" s="3">
        <v>56.26</v>
      </c>
      <c r="L513" s="3">
        <v>0</v>
      </c>
      <c r="M513" s="3">
        <v>0</v>
      </c>
      <c r="N513" s="3">
        <v>0</v>
      </c>
      <c r="O513" s="3">
        <v>7.3137999999999996</v>
      </c>
      <c r="P513" s="3">
        <v>63.573799999999999</v>
      </c>
      <c r="Q513">
        <v>3</v>
      </c>
    </row>
    <row r="514" spans="1:17" x14ac:dyDescent="0.25">
      <c r="A514" t="s">
        <v>567</v>
      </c>
      <c r="B514" t="s">
        <v>640</v>
      </c>
      <c r="C514" t="s">
        <v>1</v>
      </c>
      <c r="D514" t="s">
        <v>0</v>
      </c>
      <c r="E514">
        <v>609</v>
      </c>
      <c r="F514" t="s">
        <v>475</v>
      </c>
      <c r="G514" t="s">
        <v>476</v>
      </c>
      <c r="H514" s="3">
        <v>0</v>
      </c>
      <c r="I514" s="3">
        <v>0</v>
      </c>
      <c r="J514" s="3">
        <v>0</v>
      </c>
      <c r="K514" s="3">
        <v>56.26</v>
      </c>
      <c r="L514" s="3">
        <v>0</v>
      </c>
      <c r="M514" s="3">
        <v>0</v>
      </c>
      <c r="N514" s="3">
        <v>0</v>
      </c>
      <c r="O514" s="3">
        <v>7.3137999999999996</v>
      </c>
      <c r="P514" s="3">
        <v>63.573799999999999</v>
      </c>
      <c r="Q514">
        <v>3</v>
      </c>
    </row>
    <row r="515" spans="1:17" x14ac:dyDescent="0.25">
      <c r="A515" t="s">
        <v>567</v>
      </c>
      <c r="B515" t="s">
        <v>640</v>
      </c>
      <c r="C515" t="s">
        <v>1</v>
      </c>
      <c r="D515" t="s">
        <v>0</v>
      </c>
      <c r="E515">
        <v>581</v>
      </c>
      <c r="F515" t="s">
        <v>475</v>
      </c>
      <c r="G515" t="s">
        <v>476</v>
      </c>
      <c r="H515" s="3">
        <v>0</v>
      </c>
      <c r="I515" s="3">
        <v>0</v>
      </c>
      <c r="J515" s="3">
        <v>0</v>
      </c>
      <c r="K515" s="3">
        <v>56.26</v>
      </c>
      <c r="L515" s="3">
        <v>0</v>
      </c>
      <c r="M515" s="3">
        <v>0</v>
      </c>
      <c r="N515" s="3">
        <v>0</v>
      </c>
      <c r="O515" s="3">
        <v>7.3137999999999996</v>
      </c>
      <c r="P515" s="3">
        <v>63.573799999999999</v>
      </c>
      <c r="Q515">
        <v>3</v>
      </c>
    </row>
    <row r="516" spans="1:17" x14ac:dyDescent="0.25">
      <c r="A516" t="s">
        <v>567</v>
      </c>
      <c r="B516" t="s">
        <v>640</v>
      </c>
      <c r="C516" t="s">
        <v>1</v>
      </c>
      <c r="D516" t="s">
        <v>0</v>
      </c>
      <c r="E516">
        <v>576</v>
      </c>
      <c r="F516" t="s">
        <v>475</v>
      </c>
      <c r="G516" t="s">
        <v>476</v>
      </c>
      <c r="H516" s="3">
        <v>0</v>
      </c>
      <c r="I516" s="3">
        <v>0</v>
      </c>
      <c r="J516" s="3">
        <v>0</v>
      </c>
      <c r="K516" s="3">
        <v>28.08</v>
      </c>
      <c r="L516" s="3">
        <v>0</v>
      </c>
      <c r="M516" s="3">
        <v>0</v>
      </c>
      <c r="N516" s="3">
        <v>0</v>
      </c>
      <c r="O516" s="3">
        <v>3.6503999999999999</v>
      </c>
      <c r="P516" s="3">
        <v>31.730399999999999</v>
      </c>
      <c r="Q516">
        <v>3</v>
      </c>
    </row>
    <row r="517" spans="1:17" x14ac:dyDescent="0.25">
      <c r="A517" t="s">
        <v>567</v>
      </c>
      <c r="B517" t="s">
        <v>640</v>
      </c>
      <c r="C517" t="s">
        <v>1</v>
      </c>
      <c r="D517" t="s">
        <v>0</v>
      </c>
      <c r="E517">
        <v>580</v>
      </c>
      <c r="F517" t="s">
        <v>475</v>
      </c>
      <c r="G517" t="s">
        <v>476</v>
      </c>
      <c r="H517" s="3">
        <v>0</v>
      </c>
      <c r="I517" s="3">
        <v>0</v>
      </c>
      <c r="J517" s="3">
        <v>0</v>
      </c>
      <c r="K517" s="3">
        <v>33.130000000000003</v>
      </c>
      <c r="L517" s="3">
        <v>0</v>
      </c>
      <c r="M517" s="3">
        <v>0</v>
      </c>
      <c r="N517" s="3">
        <v>0</v>
      </c>
      <c r="O517" s="3">
        <v>4.3069000000000006</v>
      </c>
      <c r="P517" s="3">
        <v>37.436900000000001</v>
      </c>
      <c r="Q517">
        <v>3</v>
      </c>
    </row>
    <row r="518" spans="1:17" x14ac:dyDescent="0.25">
      <c r="A518" t="s">
        <v>567</v>
      </c>
      <c r="B518" t="s">
        <v>640</v>
      </c>
      <c r="C518" t="s">
        <v>1</v>
      </c>
      <c r="D518" t="s">
        <v>0</v>
      </c>
      <c r="E518">
        <v>14446</v>
      </c>
      <c r="F518" t="s">
        <v>453</v>
      </c>
      <c r="G518" t="s">
        <v>454</v>
      </c>
      <c r="H518" s="3">
        <v>0</v>
      </c>
      <c r="I518" s="3">
        <v>0</v>
      </c>
      <c r="J518" s="3">
        <v>0</v>
      </c>
      <c r="K518" s="3">
        <v>12.15</v>
      </c>
      <c r="L518" s="3">
        <v>0</v>
      </c>
      <c r="M518" s="3">
        <v>0</v>
      </c>
      <c r="N518" s="3">
        <v>0</v>
      </c>
      <c r="O518" s="3">
        <v>1.5795000000000001</v>
      </c>
      <c r="P518" s="3">
        <v>13.7295</v>
      </c>
      <c r="Q518">
        <v>3</v>
      </c>
    </row>
    <row r="519" spans="1:17" x14ac:dyDescent="0.25">
      <c r="A519" t="s">
        <v>567</v>
      </c>
      <c r="B519" t="s">
        <v>640</v>
      </c>
      <c r="C519" t="s">
        <v>1</v>
      </c>
      <c r="D519" t="s">
        <v>0</v>
      </c>
      <c r="E519">
        <v>77705</v>
      </c>
      <c r="F519" t="s">
        <v>473</v>
      </c>
      <c r="G519" t="s">
        <v>474</v>
      </c>
      <c r="H519" s="3">
        <v>0</v>
      </c>
      <c r="I519" s="3">
        <v>0</v>
      </c>
      <c r="J519" s="3">
        <v>0</v>
      </c>
      <c r="K519" s="3">
        <v>71.680000000000007</v>
      </c>
      <c r="L519" s="3">
        <v>0</v>
      </c>
      <c r="M519" s="3">
        <v>0</v>
      </c>
      <c r="N519" s="3">
        <v>0</v>
      </c>
      <c r="O519" s="3">
        <v>9.3184000000000005</v>
      </c>
      <c r="P519" s="3">
        <v>80.998400000000004</v>
      </c>
      <c r="Q519">
        <v>3</v>
      </c>
    </row>
    <row r="520" spans="1:17" x14ac:dyDescent="0.25">
      <c r="A520" t="s">
        <v>567</v>
      </c>
      <c r="B520" t="s">
        <v>640</v>
      </c>
      <c r="C520" t="s">
        <v>1</v>
      </c>
      <c r="D520" t="s">
        <v>0</v>
      </c>
      <c r="E520">
        <v>167045</v>
      </c>
      <c r="F520" t="s">
        <v>425</v>
      </c>
      <c r="G520" t="s">
        <v>426</v>
      </c>
      <c r="H520" s="3">
        <v>3.63</v>
      </c>
      <c r="I520" s="3">
        <v>0</v>
      </c>
      <c r="J520" s="3">
        <v>0</v>
      </c>
      <c r="K520" s="3">
        <v>32.19</v>
      </c>
      <c r="L520" s="3">
        <v>0</v>
      </c>
      <c r="M520" s="3">
        <v>0</v>
      </c>
      <c r="N520" s="3">
        <v>0</v>
      </c>
      <c r="O520" s="3">
        <v>4.1846999999999994</v>
      </c>
      <c r="P520" s="3">
        <v>40.0047</v>
      </c>
      <c r="Q520">
        <v>3</v>
      </c>
    </row>
    <row r="521" spans="1:17" x14ac:dyDescent="0.25">
      <c r="A521" t="s">
        <v>567</v>
      </c>
      <c r="B521" t="s">
        <v>640</v>
      </c>
      <c r="C521" t="s">
        <v>1</v>
      </c>
      <c r="D521" t="s">
        <v>0</v>
      </c>
      <c r="E521">
        <v>51021</v>
      </c>
      <c r="F521" t="s">
        <v>418</v>
      </c>
      <c r="G521" t="s">
        <v>419</v>
      </c>
      <c r="H521" s="3">
        <v>1.96</v>
      </c>
      <c r="I521" s="3">
        <v>0</v>
      </c>
      <c r="J521" s="3">
        <v>0</v>
      </c>
      <c r="K521" s="3">
        <v>17.47</v>
      </c>
      <c r="L521" s="3">
        <v>0</v>
      </c>
      <c r="M521" s="3">
        <v>0</v>
      </c>
      <c r="N521" s="3">
        <v>0</v>
      </c>
      <c r="O521" s="3">
        <v>2.2711000000000001</v>
      </c>
      <c r="P521" s="3">
        <v>21.7011</v>
      </c>
      <c r="Q521">
        <v>3</v>
      </c>
    </row>
    <row r="522" spans="1:17" x14ac:dyDescent="0.25">
      <c r="A522" t="s">
        <v>567</v>
      </c>
      <c r="B522" t="s">
        <v>105</v>
      </c>
      <c r="C522" t="s">
        <v>1</v>
      </c>
      <c r="D522" t="s">
        <v>0</v>
      </c>
      <c r="E522">
        <v>1593</v>
      </c>
      <c r="F522" t="s">
        <v>559</v>
      </c>
      <c r="G522" t="s">
        <v>560</v>
      </c>
      <c r="H522" s="3">
        <v>0</v>
      </c>
      <c r="I522" s="3">
        <v>0</v>
      </c>
      <c r="J522" s="3">
        <v>0</v>
      </c>
      <c r="K522" s="3">
        <v>4.42</v>
      </c>
      <c r="L522" s="3">
        <v>0</v>
      </c>
      <c r="M522" s="3">
        <v>0</v>
      </c>
      <c r="N522" s="3">
        <v>0</v>
      </c>
      <c r="O522" s="3">
        <v>0.5746</v>
      </c>
      <c r="P522" s="3">
        <v>4.9946000000000002</v>
      </c>
      <c r="Q522">
        <v>3</v>
      </c>
    </row>
    <row r="523" spans="1:17" x14ac:dyDescent="0.25">
      <c r="A523" t="s">
        <v>567</v>
      </c>
      <c r="B523" t="s">
        <v>105</v>
      </c>
      <c r="C523" t="s">
        <v>1</v>
      </c>
      <c r="D523" t="s">
        <v>0</v>
      </c>
      <c r="E523">
        <v>1591</v>
      </c>
      <c r="F523" t="s">
        <v>559</v>
      </c>
      <c r="G523" t="s">
        <v>560</v>
      </c>
      <c r="H523" s="3">
        <v>0</v>
      </c>
      <c r="I523" s="3">
        <v>0</v>
      </c>
      <c r="J523" s="3">
        <v>0</v>
      </c>
      <c r="K523" s="3">
        <v>4.42</v>
      </c>
      <c r="L523" s="3">
        <v>0</v>
      </c>
      <c r="M523" s="3">
        <v>0</v>
      </c>
      <c r="N523" s="3">
        <v>0</v>
      </c>
      <c r="O523" s="3">
        <v>0.5746</v>
      </c>
      <c r="P523" s="3">
        <v>4.9946000000000002</v>
      </c>
      <c r="Q523">
        <v>3</v>
      </c>
    </row>
    <row r="524" spans="1:17" x14ac:dyDescent="0.25">
      <c r="A524" t="s">
        <v>567</v>
      </c>
      <c r="B524" t="s">
        <v>639</v>
      </c>
      <c r="C524" t="s">
        <v>1</v>
      </c>
      <c r="D524" t="s">
        <v>0</v>
      </c>
      <c r="E524">
        <v>587</v>
      </c>
      <c r="F524" t="s">
        <v>475</v>
      </c>
      <c r="G524" t="s">
        <v>476</v>
      </c>
      <c r="H524" s="3">
        <v>0</v>
      </c>
      <c r="I524" s="3">
        <v>0</v>
      </c>
      <c r="J524" s="3">
        <v>0</v>
      </c>
      <c r="K524" s="3">
        <v>38.869999999999997</v>
      </c>
      <c r="L524" s="3">
        <v>0</v>
      </c>
      <c r="M524" s="3">
        <v>0</v>
      </c>
      <c r="N524" s="3">
        <v>0</v>
      </c>
      <c r="O524" s="3">
        <v>5.0530999999999997</v>
      </c>
      <c r="P524" s="3">
        <v>43.923099999999998</v>
      </c>
      <c r="Q524">
        <v>3</v>
      </c>
    </row>
    <row r="525" spans="1:17" x14ac:dyDescent="0.25">
      <c r="A525" t="s">
        <v>567</v>
      </c>
      <c r="B525" t="s">
        <v>639</v>
      </c>
      <c r="C525" t="s">
        <v>1</v>
      </c>
      <c r="D525" t="s">
        <v>0</v>
      </c>
      <c r="E525">
        <v>167094</v>
      </c>
      <c r="F525" t="s">
        <v>425</v>
      </c>
      <c r="G525" t="s">
        <v>426</v>
      </c>
      <c r="H525" s="3">
        <v>4.8899999999999997</v>
      </c>
      <c r="I525" s="3">
        <v>0</v>
      </c>
      <c r="J525" s="3">
        <v>0</v>
      </c>
      <c r="K525" s="3">
        <v>43.46</v>
      </c>
      <c r="L525" s="3">
        <v>0</v>
      </c>
      <c r="M525" s="3">
        <v>0</v>
      </c>
      <c r="N525" s="3">
        <v>0</v>
      </c>
      <c r="O525" s="3">
        <v>5.6497999999999999</v>
      </c>
      <c r="P525" s="3">
        <v>53.9998</v>
      </c>
      <c r="Q525">
        <v>3</v>
      </c>
    </row>
    <row r="526" spans="1:17" x14ac:dyDescent="0.25">
      <c r="A526" t="s">
        <v>567</v>
      </c>
      <c r="B526" t="s">
        <v>639</v>
      </c>
      <c r="C526" t="s">
        <v>1</v>
      </c>
      <c r="D526" t="s">
        <v>0</v>
      </c>
      <c r="E526">
        <v>51358</v>
      </c>
      <c r="F526" t="s">
        <v>418</v>
      </c>
      <c r="G526" t="s">
        <v>419</v>
      </c>
      <c r="H526" s="3">
        <v>11.01</v>
      </c>
      <c r="I526" s="3">
        <v>0</v>
      </c>
      <c r="J526" s="3">
        <v>0</v>
      </c>
      <c r="K526" s="3">
        <v>98.41</v>
      </c>
      <c r="L526" s="3">
        <v>0</v>
      </c>
      <c r="M526" s="3">
        <v>0</v>
      </c>
      <c r="N526" s="3">
        <v>0</v>
      </c>
      <c r="O526" s="3">
        <v>12.7933</v>
      </c>
      <c r="P526" s="3">
        <v>122.2133</v>
      </c>
      <c r="Q526">
        <v>3</v>
      </c>
    </row>
    <row r="527" spans="1:17" x14ac:dyDescent="0.25">
      <c r="A527" t="s">
        <v>567</v>
      </c>
      <c r="B527" t="s">
        <v>638</v>
      </c>
      <c r="C527" t="s">
        <v>1</v>
      </c>
      <c r="D527" t="s">
        <v>0</v>
      </c>
      <c r="E527">
        <v>204060</v>
      </c>
      <c r="F527" t="s">
        <v>440</v>
      </c>
      <c r="G527" t="s">
        <v>441</v>
      </c>
      <c r="H527" s="3">
        <v>3.91</v>
      </c>
      <c r="I527" s="3">
        <v>0</v>
      </c>
      <c r="J527" s="3">
        <v>0</v>
      </c>
      <c r="K527" s="3">
        <v>34.47</v>
      </c>
      <c r="L527" s="3">
        <v>0</v>
      </c>
      <c r="M527" s="3">
        <v>0</v>
      </c>
      <c r="N527" s="3">
        <v>0</v>
      </c>
      <c r="O527" s="3">
        <v>4.4810999999999996</v>
      </c>
      <c r="P527" s="3">
        <v>42.861099999999993</v>
      </c>
      <c r="Q527">
        <v>3</v>
      </c>
    </row>
    <row r="528" spans="1:17" x14ac:dyDescent="0.25">
      <c r="A528" t="s">
        <v>567</v>
      </c>
      <c r="B528" t="s">
        <v>638</v>
      </c>
      <c r="C528" t="s">
        <v>1</v>
      </c>
      <c r="D528" t="s">
        <v>0</v>
      </c>
      <c r="E528">
        <v>117977</v>
      </c>
      <c r="F528" t="s">
        <v>459</v>
      </c>
      <c r="G528" t="s">
        <v>460</v>
      </c>
      <c r="H528" s="3">
        <v>2.71</v>
      </c>
      <c r="I528" s="3">
        <v>0</v>
      </c>
      <c r="J528" s="3">
        <v>0</v>
      </c>
      <c r="K528" s="3">
        <v>26.26</v>
      </c>
      <c r="L528" s="3">
        <v>0</v>
      </c>
      <c r="M528" s="3">
        <v>0</v>
      </c>
      <c r="N528" s="3">
        <v>0</v>
      </c>
      <c r="O528" s="3">
        <v>3.4138000000000002</v>
      </c>
      <c r="P528" s="3">
        <v>32.383800000000001</v>
      </c>
      <c r="Q528">
        <v>3</v>
      </c>
    </row>
    <row r="529" spans="1:17" x14ac:dyDescent="0.25">
      <c r="A529" t="s">
        <v>567</v>
      </c>
      <c r="B529" t="s">
        <v>638</v>
      </c>
      <c r="C529" t="s">
        <v>1</v>
      </c>
      <c r="D529" t="s">
        <v>0</v>
      </c>
      <c r="E529">
        <v>51524</v>
      </c>
      <c r="F529" t="s">
        <v>418</v>
      </c>
      <c r="G529" t="s">
        <v>419</v>
      </c>
      <c r="H529" s="3">
        <v>12.39</v>
      </c>
      <c r="I529" s="3">
        <v>0</v>
      </c>
      <c r="J529" s="3">
        <v>0</v>
      </c>
      <c r="K529" s="3">
        <v>110.72</v>
      </c>
      <c r="L529" s="3">
        <v>0</v>
      </c>
      <c r="M529" s="3">
        <v>0</v>
      </c>
      <c r="N529" s="3">
        <v>0</v>
      </c>
      <c r="O529" s="3">
        <v>14.393600000000001</v>
      </c>
      <c r="P529" s="3">
        <v>137.50360000000001</v>
      </c>
      <c r="Q529">
        <v>3</v>
      </c>
    </row>
    <row r="530" spans="1:17" x14ac:dyDescent="0.25">
      <c r="A530" t="s">
        <v>567</v>
      </c>
      <c r="B530" t="s">
        <v>626</v>
      </c>
      <c r="C530" t="s">
        <v>1</v>
      </c>
      <c r="D530" t="s">
        <v>0</v>
      </c>
      <c r="E530">
        <v>37741</v>
      </c>
      <c r="F530" t="s">
        <v>665</v>
      </c>
      <c r="G530" t="s">
        <v>666</v>
      </c>
      <c r="H530" s="3">
        <v>0</v>
      </c>
      <c r="I530" s="3">
        <v>0</v>
      </c>
      <c r="J530" s="3">
        <v>0</v>
      </c>
      <c r="K530" s="3">
        <v>11.5</v>
      </c>
      <c r="L530" s="3">
        <v>0</v>
      </c>
      <c r="M530" s="3">
        <v>0</v>
      </c>
      <c r="N530" s="3">
        <v>0</v>
      </c>
      <c r="O530" s="3">
        <v>1.4950000000000001</v>
      </c>
      <c r="P530" s="3">
        <v>12.995000000000001</v>
      </c>
      <c r="Q530">
        <v>3</v>
      </c>
    </row>
    <row r="531" spans="1:17" x14ac:dyDescent="0.25">
      <c r="A531" t="s">
        <v>567</v>
      </c>
      <c r="B531" t="s">
        <v>626</v>
      </c>
      <c r="C531" t="s">
        <v>1</v>
      </c>
      <c r="D531" t="s">
        <v>0</v>
      </c>
      <c r="E531">
        <v>19855</v>
      </c>
      <c r="F531" t="s">
        <v>467</v>
      </c>
      <c r="G531" t="s">
        <v>468</v>
      </c>
      <c r="H531" s="3">
        <v>0</v>
      </c>
      <c r="I531" s="3">
        <v>0</v>
      </c>
      <c r="J531" s="3">
        <v>0</v>
      </c>
      <c r="K531" s="3">
        <v>14</v>
      </c>
      <c r="L531" s="3">
        <v>0</v>
      </c>
      <c r="M531" s="3">
        <v>0</v>
      </c>
      <c r="N531" s="3">
        <v>0</v>
      </c>
      <c r="O531" s="3">
        <v>1.82</v>
      </c>
      <c r="P531" s="3">
        <v>15.82</v>
      </c>
      <c r="Q531">
        <v>3</v>
      </c>
    </row>
    <row r="532" spans="1:17" x14ac:dyDescent="0.25">
      <c r="A532" t="s">
        <v>567</v>
      </c>
      <c r="B532" t="s">
        <v>632</v>
      </c>
      <c r="C532" t="s">
        <v>1</v>
      </c>
      <c r="D532" t="s">
        <v>0</v>
      </c>
      <c r="E532">
        <v>601</v>
      </c>
      <c r="F532" t="s">
        <v>475</v>
      </c>
      <c r="G532" t="s">
        <v>476</v>
      </c>
      <c r="H532" s="3">
        <v>0</v>
      </c>
      <c r="I532" s="3">
        <v>0</v>
      </c>
      <c r="J532" s="3">
        <v>0</v>
      </c>
      <c r="K532" s="3">
        <v>37.340000000000003</v>
      </c>
      <c r="L532" s="3">
        <v>0</v>
      </c>
      <c r="M532" s="3">
        <v>0</v>
      </c>
      <c r="N532" s="3">
        <v>0</v>
      </c>
      <c r="O532" s="3">
        <v>4.8542000000000005</v>
      </c>
      <c r="P532" s="3">
        <v>42.194200000000002</v>
      </c>
      <c r="Q532">
        <v>3</v>
      </c>
    </row>
    <row r="533" spans="1:17" x14ac:dyDescent="0.25">
      <c r="A533" t="s">
        <v>567</v>
      </c>
      <c r="B533" t="s">
        <v>632</v>
      </c>
      <c r="C533" t="s">
        <v>1</v>
      </c>
      <c r="D533" t="s">
        <v>0</v>
      </c>
      <c r="E533">
        <v>72400</v>
      </c>
      <c r="F533" t="s">
        <v>656</v>
      </c>
      <c r="G533" t="s">
        <v>657</v>
      </c>
      <c r="H533" s="3">
        <v>0</v>
      </c>
      <c r="I533" s="3">
        <v>0</v>
      </c>
      <c r="J533" s="3">
        <v>0</v>
      </c>
      <c r="K533" s="3">
        <v>25.57</v>
      </c>
      <c r="L533" s="3">
        <v>0</v>
      </c>
      <c r="M533" s="3">
        <v>0</v>
      </c>
      <c r="N533" s="3">
        <v>0</v>
      </c>
      <c r="O533" s="3">
        <v>3.3241000000000001</v>
      </c>
      <c r="P533" s="3">
        <v>28.894100000000002</v>
      </c>
      <c r="Q533">
        <v>3</v>
      </c>
    </row>
    <row r="534" spans="1:17" x14ac:dyDescent="0.25">
      <c r="A534" t="s">
        <v>567</v>
      </c>
      <c r="B534" t="s">
        <v>632</v>
      </c>
      <c r="C534" t="s">
        <v>1</v>
      </c>
      <c r="D534" t="s">
        <v>0</v>
      </c>
      <c r="E534">
        <v>52114</v>
      </c>
      <c r="F534" t="s">
        <v>418</v>
      </c>
      <c r="G534" t="s">
        <v>419</v>
      </c>
      <c r="H534" s="3">
        <v>9.36</v>
      </c>
      <c r="I534" s="3">
        <v>0</v>
      </c>
      <c r="J534" s="3">
        <v>0</v>
      </c>
      <c r="K534" s="3">
        <v>88.6</v>
      </c>
      <c r="L534" s="3">
        <v>0</v>
      </c>
      <c r="M534" s="3">
        <v>0</v>
      </c>
      <c r="N534" s="3">
        <v>0</v>
      </c>
      <c r="O534" s="3">
        <v>11.517999999999999</v>
      </c>
      <c r="P534" s="3">
        <v>109.47799999999999</v>
      </c>
      <c r="Q534">
        <v>3</v>
      </c>
    </row>
    <row r="535" spans="1:17" x14ac:dyDescent="0.25">
      <c r="A535" t="s">
        <v>567</v>
      </c>
      <c r="B535" t="s">
        <v>637</v>
      </c>
      <c r="C535" t="s">
        <v>1</v>
      </c>
      <c r="D535" t="s">
        <v>0</v>
      </c>
      <c r="E535">
        <v>614</v>
      </c>
      <c r="F535" t="s">
        <v>475</v>
      </c>
      <c r="G535" t="s">
        <v>476</v>
      </c>
      <c r="H535" s="3">
        <v>0</v>
      </c>
      <c r="I535" s="3">
        <v>0</v>
      </c>
      <c r="J535" s="3">
        <v>0</v>
      </c>
      <c r="K535" s="3">
        <v>80.02</v>
      </c>
      <c r="L535" s="3">
        <v>0</v>
      </c>
      <c r="M535" s="3">
        <v>0</v>
      </c>
      <c r="N535" s="3">
        <v>0</v>
      </c>
      <c r="O535" s="3">
        <v>10.4026</v>
      </c>
      <c r="P535" s="3">
        <v>90.422599999999989</v>
      </c>
      <c r="Q535">
        <v>3</v>
      </c>
    </row>
    <row r="536" spans="1:17" x14ac:dyDescent="0.25">
      <c r="A536" t="s">
        <v>567</v>
      </c>
      <c r="B536" t="s">
        <v>637</v>
      </c>
      <c r="C536" t="s">
        <v>1</v>
      </c>
      <c r="D536" t="s">
        <v>0</v>
      </c>
      <c r="E536">
        <v>613</v>
      </c>
      <c r="F536" t="s">
        <v>475</v>
      </c>
      <c r="G536" t="s">
        <v>476</v>
      </c>
      <c r="H536" s="3">
        <v>0</v>
      </c>
      <c r="I536" s="3">
        <v>0</v>
      </c>
      <c r="J536" s="3">
        <v>0</v>
      </c>
      <c r="K536" s="3">
        <v>56.26</v>
      </c>
      <c r="L536" s="3">
        <v>0</v>
      </c>
      <c r="M536" s="3">
        <v>0</v>
      </c>
      <c r="N536" s="3">
        <v>0</v>
      </c>
      <c r="O536" s="3">
        <v>7.3137999999999996</v>
      </c>
      <c r="P536" s="3">
        <v>63.573799999999999</v>
      </c>
      <c r="Q536">
        <v>3</v>
      </c>
    </row>
    <row r="537" spans="1:17" x14ac:dyDescent="0.25">
      <c r="A537" t="s">
        <v>567</v>
      </c>
      <c r="B537" t="s">
        <v>637</v>
      </c>
      <c r="C537" t="s">
        <v>1</v>
      </c>
      <c r="D537" t="s">
        <v>0</v>
      </c>
      <c r="E537">
        <v>615</v>
      </c>
      <c r="F537" t="s">
        <v>475</v>
      </c>
      <c r="G537" t="s">
        <v>476</v>
      </c>
      <c r="H537" s="3">
        <v>0</v>
      </c>
      <c r="I537" s="3">
        <v>0</v>
      </c>
      <c r="J537" s="3">
        <v>0</v>
      </c>
      <c r="K537" s="3">
        <v>65.98</v>
      </c>
      <c r="L537" s="3">
        <v>0</v>
      </c>
      <c r="M537" s="3">
        <v>0</v>
      </c>
      <c r="N537" s="3">
        <v>0</v>
      </c>
      <c r="O537" s="3">
        <v>8.5774000000000008</v>
      </c>
      <c r="P537" s="3">
        <v>74.557400000000001</v>
      </c>
      <c r="Q537">
        <v>3</v>
      </c>
    </row>
    <row r="538" spans="1:17" x14ac:dyDescent="0.25">
      <c r="A538" t="s">
        <v>567</v>
      </c>
      <c r="B538" t="s">
        <v>637</v>
      </c>
      <c r="C538" t="s">
        <v>1</v>
      </c>
      <c r="D538" t="s">
        <v>0</v>
      </c>
      <c r="E538">
        <v>14605</v>
      </c>
      <c r="F538" t="s">
        <v>453</v>
      </c>
      <c r="G538" t="s">
        <v>454</v>
      </c>
      <c r="H538" s="3">
        <v>0</v>
      </c>
      <c r="I538" s="3">
        <v>0</v>
      </c>
      <c r="J538" s="3">
        <v>0</v>
      </c>
      <c r="K538" s="3">
        <v>18</v>
      </c>
      <c r="L538" s="3">
        <v>0</v>
      </c>
      <c r="M538" s="3">
        <v>0</v>
      </c>
      <c r="N538" s="3">
        <v>0</v>
      </c>
      <c r="O538" s="3">
        <v>2.34</v>
      </c>
      <c r="P538" s="3">
        <v>20.34</v>
      </c>
      <c r="Q538">
        <v>3</v>
      </c>
    </row>
    <row r="539" spans="1:17" x14ac:dyDescent="0.25">
      <c r="A539" t="s">
        <v>567</v>
      </c>
      <c r="B539" t="s">
        <v>637</v>
      </c>
      <c r="C539" t="s">
        <v>1</v>
      </c>
      <c r="D539" t="s">
        <v>0</v>
      </c>
      <c r="E539">
        <v>167568</v>
      </c>
      <c r="F539" t="s">
        <v>425</v>
      </c>
      <c r="G539" t="s">
        <v>426</v>
      </c>
      <c r="H539" s="3">
        <v>3.87</v>
      </c>
      <c r="I539" s="3">
        <v>0</v>
      </c>
      <c r="J539" s="3">
        <v>0</v>
      </c>
      <c r="K539" s="3">
        <v>36.4</v>
      </c>
      <c r="L539" s="3">
        <v>0</v>
      </c>
      <c r="M539" s="3">
        <v>0</v>
      </c>
      <c r="N539" s="3">
        <v>0</v>
      </c>
      <c r="O539" s="3">
        <v>4.7320000000000002</v>
      </c>
      <c r="P539" s="3">
        <v>45.001999999999995</v>
      </c>
      <c r="Q539">
        <v>3</v>
      </c>
    </row>
    <row r="540" spans="1:17" x14ac:dyDescent="0.25">
      <c r="A540" t="s">
        <v>567</v>
      </c>
      <c r="B540" t="s">
        <v>637</v>
      </c>
      <c r="C540" t="s">
        <v>1</v>
      </c>
      <c r="D540" t="s">
        <v>0</v>
      </c>
      <c r="E540">
        <v>52230</v>
      </c>
      <c r="F540" t="s">
        <v>418</v>
      </c>
      <c r="G540" t="s">
        <v>419</v>
      </c>
      <c r="H540" s="3">
        <v>9.52</v>
      </c>
      <c r="I540" s="3">
        <v>0</v>
      </c>
      <c r="J540" s="3">
        <v>0</v>
      </c>
      <c r="K540" s="3">
        <v>90.1</v>
      </c>
      <c r="L540" s="3">
        <v>0</v>
      </c>
      <c r="M540" s="3">
        <v>0</v>
      </c>
      <c r="N540" s="3">
        <v>0</v>
      </c>
      <c r="O540" s="3">
        <v>11.712999999999999</v>
      </c>
      <c r="P540" s="3">
        <v>111.33299999999998</v>
      </c>
      <c r="Q540">
        <v>3</v>
      </c>
    </row>
    <row r="541" spans="1:17" x14ac:dyDescent="0.25">
      <c r="A541" t="s">
        <v>567</v>
      </c>
      <c r="B541" t="s">
        <v>637</v>
      </c>
      <c r="C541" t="s">
        <v>1</v>
      </c>
      <c r="D541" t="s">
        <v>0</v>
      </c>
      <c r="E541">
        <v>52235</v>
      </c>
      <c r="F541" t="s">
        <v>418</v>
      </c>
      <c r="G541" t="s">
        <v>419</v>
      </c>
      <c r="H541" s="3">
        <v>1.41</v>
      </c>
      <c r="I541" s="3">
        <v>0</v>
      </c>
      <c r="J541" s="3">
        <v>0</v>
      </c>
      <c r="K541" s="3">
        <v>14.68</v>
      </c>
      <c r="L541" s="3">
        <v>0</v>
      </c>
      <c r="M541" s="3">
        <v>0</v>
      </c>
      <c r="N541" s="3">
        <v>0</v>
      </c>
      <c r="O541" s="3">
        <v>1.9084000000000001</v>
      </c>
      <c r="P541" s="3">
        <v>17.9984</v>
      </c>
      <c r="Q541">
        <v>3</v>
      </c>
    </row>
    <row r="542" spans="1:17" x14ac:dyDescent="0.25">
      <c r="A542" t="s">
        <v>567</v>
      </c>
      <c r="B542" t="s">
        <v>625</v>
      </c>
      <c r="C542" t="s">
        <v>1</v>
      </c>
      <c r="D542" t="s">
        <v>0</v>
      </c>
      <c r="E542">
        <v>625</v>
      </c>
      <c r="F542" t="s">
        <v>475</v>
      </c>
      <c r="G542" t="s">
        <v>476</v>
      </c>
      <c r="H542" s="3">
        <v>0</v>
      </c>
      <c r="I542" s="3">
        <v>0</v>
      </c>
      <c r="J542" s="3">
        <v>0</v>
      </c>
      <c r="K542" s="3">
        <v>56.26</v>
      </c>
      <c r="L542" s="3">
        <v>0</v>
      </c>
      <c r="M542" s="3">
        <v>0</v>
      </c>
      <c r="N542" s="3">
        <v>0</v>
      </c>
      <c r="O542" s="3">
        <v>7.3137999999999996</v>
      </c>
      <c r="P542" s="3">
        <v>63.573799999999999</v>
      </c>
      <c r="Q542">
        <v>3</v>
      </c>
    </row>
    <row r="543" spans="1:17" x14ac:dyDescent="0.25">
      <c r="A543" t="s">
        <v>567</v>
      </c>
      <c r="B543" t="s">
        <v>625</v>
      </c>
      <c r="C543" t="s">
        <v>1</v>
      </c>
      <c r="D543" t="s">
        <v>0</v>
      </c>
      <c r="E543">
        <v>167756</v>
      </c>
      <c r="F543" t="s">
        <v>425</v>
      </c>
      <c r="G543" t="s">
        <v>426</v>
      </c>
      <c r="H543" s="3">
        <v>8.11</v>
      </c>
      <c r="I543" s="3">
        <v>0</v>
      </c>
      <c r="J543" s="3">
        <v>0</v>
      </c>
      <c r="K543" s="3">
        <v>91.01</v>
      </c>
      <c r="L543" s="3">
        <v>0</v>
      </c>
      <c r="M543" s="3">
        <v>0</v>
      </c>
      <c r="N543" s="3">
        <v>0</v>
      </c>
      <c r="O543" s="3">
        <v>11.831300000000001</v>
      </c>
      <c r="P543" s="3">
        <v>110.9513</v>
      </c>
      <c r="Q543">
        <v>3</v>
      </c>
    </row>
    <row r="544" spans="1:17" x14ac:dyDescent="0.25">
      <c r="A544" t="s">
        <v>567</v>
      </c>
      <c r="B544" t="s">
        <v>625</v>
      </c>
      <c r="C544" t="s">
        <v>1</v>
      </c>
      <c r="D544" t="s">
        <v>0</v>
      </c>
      <c r="E544">
        <v>52645</v>
      </c>
      <c r="F544" t="s">
        <v>418</v>
      </c>
      <c r="G544" t="s">
        <v>419</v>
      </c>
      <c r="H544" s="3">
        <v>8.65</v>
      </c>
      <c r="I544" s="3">
        <v>0</v>
      </c>
      <c r="J544" s="3">
        <v>0</v>
      </c>
      <c r="K544" s="3">
        <v>81.86</v>
      </c>
      <c r="L544" s="3">
        <v>0</v>
      </c>
      <c r="M544" s="3">
        <v>0</v>
      </c>
      <c r="N544" s="3">
        <v>0</v>
      </c>
      <c r="O544" s="3">
        <v>10.6418</v>
      </c>
      <c r="P544" s="3">
        <v>101.15180000000001</v>
      </c>
      <c r="Q544">
        <v>3</v>
      </c>
    </row>
    <row r="545" spans="1:17" x14ac:dyDescent="0.25">
      <c r="A545" t="s">
        <v>567</v>
      </c>
      <c r="B545" t="s">
        <v>544</v>
      </c>
      <c r="C545" t="s">
        <v>1</v>
      </c>
      <c r="D545" t="s">
        <v>0</v>
      </c>
      <c r="E545">
        <v>76219</v>
      </c>
      <c r="F545" t="s">
        <v>440</v>
      </c>
      <c r="G545" t="s">
        <v>441</v>
      </c>
      <c r="H545" s="3">
        <v>8.0400000000000009</v>
      </c>
      <c r="I545" s="3">
        <v>0</v>
      </c>
      <c r="J545" s="3">
        <v>0</v>
      </c>
      <c r="K545" s="3">
        <v>68.989999999999995</v>
      </c>
      <c r="L545" s="3">
        <v>0</v>
      </c>
      <c r="M545" s="3">
        <v>0</v>
      </c>
      <c r="N545" s="3">
        <v>0</v>
      </c>
      <c r="O545" s="3">
        <v>8.9687000000000001</v>
      </c>
      <c r="P545" s="3">
        <v>85.998699999999999</v>
      </c>
      <c r="Q545">
        <v>3</v>
      </c>
    </row>
    <row r="546" spans="1:17" x14ac:dyDescent="0.25">
      <c r="A546" t="s">
        <v>567</v>
      </c>
      <c r="B546" t="s">
        <v>650</v>
      </c>
      <c r="C546" t="s">
        <v>1</v>
      </c>
      <c r="D546" t="s">
        <v>0</v>
      </c>
      <c r="E546">
        <v>633</v>
      </c>
      <c r="F546" t="s">
        <v>475</v>
      </c>
      <c r="G546" t="s">
        <v>476</v>
      </c>
      <c r="H546" s="3">
        <v>0</v>
      </c>
      <c r="I546" s="3">
        <v>0</v>
      </c>
      <c r="J546" s="3">
        <v>0</v>
      </c>
      <c r="K546" s="3">
        <v>56.26</v>
      </c>
      <c r="L546" s="3">
        <v>0</v>
      </c>
      <c r="M546" s="3">
        <v>0</v>
      </c>
      <c r="N546" s="3">
        <v>0</v>
      </c>
      <c r="O546" s="3">
        <v>7.3137999999999996</v>
      </c>
      <c r="P546" s="3">
        <v>63.573799999999999</v>
      </c>
      <c r="Q546">
        <v>3</v>
      </c>
    </row>
    <row r="547" spans="1:17" x14ac:dyDescent="0.25">
      <c r="A547" t="s">
        <v>567</v>
      </c>
      <c r="B547" t="s">
        <v>650</v>
      </c>
      <c r="C547" t="s">
        <v>1</v>
      </c>
      <c r="D547" t="s">
        <v>0</v>
      </c>
      <c r="E547">
        <v>627</v>
      </c>
      <c r="F547" t="s">
        <v>475</v>
      </c>
      <c r="G547" t="s">
        <v>476</v>
      </c>
      <c r="H547" s="3">
        <v>0</v>
      </c>
      <c r="I547" s="3">
        <v>0</v>
      </c>
      <c r="J547" s="3">
        <v>0</v>
      </c>
      <c r="K547" s="3">
        <v>38.75</v>
      </c>
      <c r="L547" s="3">
        <v>0</v>
      </c>
      <c r="M547" s="3">
        <v>0</v>
      </c>
      <c r="N547" s="3">
        <v>0</v>
      </c>
      <c r="O547" s="3">
        <v>5.0375000000000005</v>
      </c>
      <c r="P547" s="3">
        <v>43.787500000000001</v>
      </c>
      <c r="Q547">
        <v>3</v>
      </c>
    </row>
    <row r="548" spans="1:17" x14ac:dyDescent="0.25">
      <c r="A548" t="s">
        <v>567</v>
      </c>
      <c r="B548" t="s">
        <v>650</v>
      </c>
      <c r="C548" t="s">
        <v>1</v>
      </c>
      <c r="D548" t="s">
        <v>0</v>
      </c>
      <c r="E548">
        <v>628</v>
      </c>
      <c r="F548" t="s">
        <v>475</v>
      </c>
      <c r="G548" t="s">
        <v>476</v>
      </c>
      <c r="H548" s="3">
        <v>0</v>
      </c>
      <c r="I548" s="3">
        <v>0</v>
      </c>
      <c r="J548" s="3">
        <v>0</v>
      </c>
      <c r="K548" s="3">
        <v>40.43</v>
      </c>
      <c r="L548" s="3">
        <v>0</v>
      </c>
      <c r="M548" s="3">
        <v>0</v>
      </c>
      <c r="N548" s="3">
        <v>0</v>
      </c>
      <c r="O548" s="3">
        <v>5.2559000000000005</v>
      </c>
      <c r="P548" s="3">
        <v>45.685900000000004</v>
      </c>
      <c r="Q548">
        <v>3</v>
      </c>
    </row>
    <row r="549" spans="1:17" x14ac:dyDescent="0.25">
      <c r="A549" t="s">
        <v>567</v>
      </c>
      <c r="B549" t="s">
        <v>650</v>
      </c>
      <c r="C549" t="s">
        <v>1</v>
      </c>
      <c r="D549" t="s">
        <v>0</v>
      </c>
      <c r="E549">
        <v>14710</v>
      </c>
      <c r="F549" t="s">
        <v>453</v>
      </c>
      <c r="G549" t="s">
        <v>454</v>
      </c>
      <c r="H549" s="3">
        <v>0</v>
      </c>
      <c r="I549" s="3">
        <v>0</v>
      </c>
      <c r="J549" s="3">
        <v>0</v>
      </c>
      <c r="K549" s="3">
        <v>144</v>
      </c>
      <c r="L549" s="3">
        <v>0</v>
      </c>
      <c r="M549" s="3">
        <v>0</v>
      </c>
      <c r="N549" s="3">
        <v>0</v>
      </c>
      <c r="O549" s="3">
        <v>18.72</v>
      </c>
      <c r="P549" s="3">
        <v>162.72</v>
      </c>
      <c r="Q549">
        <v>3</v>
      </c>
    </row>
    <row r="550" spans="1:17" x14ac:dyDescent="0.25">
      <c r="A550" t="s">
        <v>567</v>
      </c>
      <c r="B550" t="s">
        <v>650</v>
      </c>
      <c r="C550" t="s">
        <v>1</v>
      </c>
      <c r="D550" t="s">
        <v>0</v>
      </c>
      <c r="E550">
        <v>324</v>
      </c>
      <c r="F550" t="s">
        <v>484</v>
      </c>
      <c r="G550" t="s">
        <v>485</v>
      </c>
      <c r="H550" s="3">
        <v>0</v>
      </c>
      <c r="I550" s="3">
        <v>0</v>
      </c>
      <c r="J550" s="3">
        <v>0</v>
      </c>
      <c r="K550" s="3">
        <v>50</v>
      </c>
      <c r="L550" s="3">
        <v>0</v>
      </c>
      <c r="M550" s="3">
        <v>0</v>
      </c>
      <c r="N550" s="3">
        <v>0</v>
      </c>
      <c r="O550" s="3">
        <v>6.5</v>
      </c>
      <c r="P550" s="3">
        <v>56.5</v>
      </c>
      <c r="Q550">
        <v>3</v>
      </c>
    </row>
    <row r="551" spans="1:17" x14ac:dyDescent="0.25">
      <c r="A551" t="s">
        <v>567</v>
      </c>
      <c r="B551" t="s">
        <v>650</v>
      </c>
      <c r="C551" t="s">
        <v>1</v>
      </c>
      <c r="D551" t="s">
        <v>0</v>
      </c>
      <c r="E551">
        <v>199</v>
      </c>
      <c r="F551" t="s">
        <v>661</v>
      </c>
      <c r="G551" t="s">
        <v>662</v>
      </c>
      <c r="H551" s="3">
        <v>0</v>
      </c>
      <c r="I551" s="3">
        <v>0</v>
      </c>
      <c r="J551" s="3">
        <v>0</v>
      </c>
      <c r="K551" s="3">
        <v>8.85</v>
      </c>
      <c r="L551" s="3">
        <v>0</v>
      </c>
      <c r="M551" s="3">
        <v>0</v>
      </c>
      <c r="N551" s="3">
        <v>0</v>
      </c>
      <c r="O551" s="3">
        <v>1.1505000000000001</v>
      </c>
      <c r="P551" s="3">
        <v>10.000499999999999</v>
      </c>
      <c r="Q551">
        <v>3</v>
      </c>
    </row>
    <row r="552" spans="1:17" x14ac:dyDescent="0.25">
      <c r="A552" t="s">
        <v>567</v>
      </c>
      <c r="B552" t="s">
        <v>650</v>
      </c>
      <c r="C552" t="s">
        <v>1</v>
      </c>
      <c r="D552" t="s">
        <v>0</v>
      </c>
      <c r="E552">
        <v>142</v>
      </c>
      <c r="F552" t="s">
        <v>565</v>
      </c>
      <c r="G552" t="s">
        <v>566</v>
      </c>
      <c r="H552" s="3">
        <v>0</v>
      </c>
      <c r="I552" s="3">
        <v>0</v>
      </c>
      <c r="J552" s="3">
        <v>0</v>
      </c>
      <c r="K552" s="3">
        <v>15</v>
      </c>
      <c r="L552" s="3">
        <v>0</v>
      </c>
      <c r="M552" s="3">
        <v>0</v>
      </c>
      <c r="N552" s="3">
        <v>0</v>
      </c>
      <c r="O552" s="3">
        <v>1.9500000000000002</v>
      </c>
      <c r="P552" s="3">
        <v>16.95</v>
      </c>
      <c r="Q552">
        <v>3</v>
      </c>
    </row>
    <row r="553" spans="1:17" x14ac:dyDescent="0.25">
      <c r="A553" t="s">
        <v>567</v>
      </c>
      <c r="B553" t="s">
        <v>650</v>
      </c>
      <c r="C553" t="s">
        <v>1</v>
      </c>
      <c r="D553" t="s">
        <v>0</v>
      </c>
      <c r="E553">
        <v>167904</v>
      </c>
      <c r="F553" t="s">
        <v>425</v>
      </c>
      <c r="G553" t="s">
        <v>426</v>
      </c>
      <c r="H553" s="3">
        <v>2.67</v>
      </c>
      <c r="I553" s="3">
        <v>0</v>
      </c>
      <c r="J553" s="3">
        <v>0</v>
      </c>
      <c r="K553" s="3">
        <v>25.07</v>
      </c>
      <c r="L553" s="3">
        <v>0</v>
      </c>
      <c r="M553" s="3">
        <v>0</v>
      </c>
      <c r="N553" s="3">
        <v>0</v>
      </c>
      <c r="O553" s="3">
        <v>3.2591000000000001</v>
      </c>
      <c r="P553" s="3">
        <v>30.999100000000002</v>
      </c>
      <c r="Q553">
        <v>3</v>
      </c>
    </row>
    <row r="554" spans="1:17" x14ac:dyDescent="0.25">
      <c r="A554" t="s">
        <v>567</v>
      </c>
      <c r="B554" t="s">
        <v>653</v>
      </c>
      <c r="C554" t="s">
        <v>1</v>
      </c>
      <c r="D554" t="s">
        <v>0</v>
      </c>
      <c r="E554">
        <v>140245</v>
      </c>
      <c r="F554" t="s">
        <v>652</v>
      </c>
      <c r="G554" t="s">
        <v>654</v>
      </c>
      <c r="H554" s="3">
        <v>0</v>
      </c>
      <c r="I554" s="3">
        <v>0</v>
      </c>
      <c r="J554" s="3">
        <v>0</v>
      </c>
      <c r="K554" s="3">
        <v>3.54</v>
      </c>
      <c r="L554" s="3">
        <v>0</v>
      </c>
      <c r="M554" s="3">
        <v>0</v>
      </c>
      <c r="N554" s="3">
        <v>0</v>
      </c>
      <c r="O554" s="3">
        <v>0.4602</v>
      </c>
      <c r="P554" s="3">
        <v>4.0002000000000004</v>
      </c>
      <c r="Q554">
        <v>3</v>
      </c>
    </row>
    <row r="555" spans="1:17" x14ac:dyDescent="0.25">
      <c r="A555" t="s">
        <v>567</v>
      </c>
      <c r="B555" t="s">
        <v>636</v>
      </c>
      <c r="C555" t="s">
        <v>1</v>
      </c>
      <c r="D555" t="s">
        <v>0</v>
      </c>
      <c r="E555">
        <v>642</v>
      </c>
      <c r="F555" t="s">
        <v>475</v>
      </c>
      <c r="G555" t="s">
        <v>476</v>
      </c>
      <c r="H555" s="3">
        <v>0</v>
      </c>
      <c r="I555" s="3">
        <v>0</v>
      </c>
      <c r="J555" s="3">
        <v>0</v>
      </c>
      <c r="K555" s="3">
        <v>28.08</v>
      </c>
      <c r="L555" s="3">
        <v>0</v>
      </c>
      <c r="M555" s="3">
        <v>0</v>
      </c>
      <c r="N555" s="3">
        <v>0</v>
      </c>
      <c r="O555" s="3">
        <v>3.6503999999999999</v>
      </c>
      <c r="P555" s="3">
        <v>31.730399999999999</v>
      </c>
      <c r="Q555">
        <v>3</v>
      </c>
    </row>
    <row r="556" spans="1:17" x14ac:dyDescent="0.25">
      <c r="A556" t="s">
        <v>567</v>
      </c>
      <c r="B556" t="s">
        <v>636</v>
      </c>
      <c r="C556" t="s">
        <v>1</v>
      </c>
      <c r="D556" t="s">
        <v>0</v>
      </c>
      <c r="E556">
        <v>643</v>
      </c>
      <c r="F556" t="s">
        <v>475</v>
      </c>
      <c r="G556" t="s">
        <v>476</v>
      </c>
      <c r="H556" s="3">
        <v>0</v>
      </c>
      <c r="I556" s="3">
        <v>0</v>
      </c>
      <c r="J556" s="3">
        <v>0</v>
      </c>
      <c r="K556" s="3">
        <v>40.71</v>
      </c>
      <c r="L556" s="3">
        <v>0</v>
      </c>
      <c r="M556" s="3">
        <v>0</v>
      </c>
      <c r="N556" s="3">
        <v>0</v>
      </c>
      <c r="O556" s="3">
        <v>5.2923</v>
      </c>
      <c r="P556" s="3">
        <v>46.002299999999998</v>
      </c>
      <c r="Q556">
        <v>3</v>
      </c>
    </row>
    <row r="557" spans="1:17" x14ac:dyDescent="0.25">
      <c r="A557" t="s">
        <v>567</v>
      </c>
      <c r="B557" t="s">
        <v>636</v>
      </c>
      <c r="C557" t="s">
        <v>1</v>
      </c>
      <c r="D557" t="s">
        <v>0</v>
      </c>
      <c r="E557">
        <v>5976</v>
      </c>
      <c r="F557" t="s">
        <v>463</v>
      </c>
      <c r="G557" t="s">
        <v>464</v>
      </c>
      <c r="H557" s="3">
        <v>2.36</v>
      </c>
      <c r="I557" s="3">
        <v>0</v>
      </c>
      <c r="J557" s="3">
        <v>0</v>
      </c>
      <c r="K557" s="3">
        <v>24.46</v>
      </c>
      <c r="L557" s="3">
        <v>0</v>
      </c>
      <c r="M557" s="3">
        <v>0</v>
      </c>
      <c r="N557" s="3">
        <v>0</v>
      </c>
      <c r="O557" s="3">
        <v>3.1798000000000002</v>
      </c>
      <c r="P557" s="3">
        <v>29.9998</v>
      </c>
      <c r="Q557">
        <v>3</v>
      </c>
    </row>
    <row r="558" spans="1:17" x14ac:dyDescent="0.25">
      <c r="A558" t="s">
        <v>567</v>
      </c>
      <c r="B558" t="s">
        <v>636</v>
      </c>
      <c r="C558" t="s">
        <v>1</v>
      </c>
      <c r="D558" t="s">
        <v>0</v>
      </c>
      <c r="E558">
        <v>168069</v>
      </c>
      <c r="F558" t="s">
        <v>425</v>
      </c>
      <c r="G558" t="s">
        <v>426</v>
      </c>
      <c r="H558" s="3">
        <v>2.84</v>
      </c>
      <c r="I558" s="3">
        <v>0</v>
      </c>
      <c r="J558" s="3">
        <v>0</v>
      </c>
      <c r="K558" s="3">
        <v>26.69</v>
      </c>
      <c r="L558" s="3">
        <v>0</v>
      </c>
      <c r="M558" s="3">
        <v>0</v>
      </c>
      <c r="N558" s="3">
        <v>0</v>
      </c>
      <c r="O558" s="3">
        <v>3.4697000000000005</v>
      </c>
      <c r="P558" s="3">
        <v>32.999700000000004</v>
      </c>
      <c r="Q558">
        <v>3</v>
      </c>
    </row>
    <row r="559" spans="1:17" x14ac:dyDescent="0.25">
      <c r="A559" t="s">
        <v>567</v>
      </c>
      <c r="B559" t="s">
        <v>636</v>
      </c>
      <c r="C559" t="s">
        <v>1</v>
      </c>
      <c r="D559" t="s">
        <v>0</v>
      </c>
      <c r="E559">
        <v>168130</v>
      </c>
      <c r="F559" t="s">
        <v>425</v>
      </c>
      <c r="G559" t="s">
        <v>426</v>
      </c>
      <c r="H559" s="3">
        <v>4.47</v>
      </c>
      <c r="I559" s="3">
        <v>0</v>
      </c>
      <c r="J559" s="3">
        <v>0</v>
      </c>
      <c r="K559" s="3">
        <v>42.06</v>
      </c>
      <c r="L559" s="3">
        <v>0</v>
      </c>
      <c r="M559" s="3">
        <v>0</v>
      </c>
      <c r="N559" s="3">
        <v>0</v>
      </c>
      <c r="O559" s="3">
        <v>5.4678000000000004</v>
      </c>
      <c r="P559" s="3">
        <v>51.997799999999998</v>
      </c>
      <c r="Q559">
        <v>3</v>
      </c>
    </row>
    <row r="560" spans="1:17" x14ac:dyDescent="0.25">
      <c r="A560" t="s">
        <v>567</v>
      </c>
      <c r="B560" t="s">
        <v>636</v>
      </c>
      <c r="C560" t="s">
        <v>1</v>
      </c>
      <c r="D560" t="s">
        <v>0</v>
      </c>
      <c r="E560">
        <v>53097</v>
      </c>
      <c r="F560" t="s">
        <v>418</v>
      </c>
      <c r="G560" t="s">
        <v>419</v>
      </c>
      <c r="H560" s="3">
        <v>10.72</v>
      </c>
      <c r="I560" s="3">
        <v>0</v>
      </c>
      <c r="J560" s="3">
        <v>0</v>
      </c>
      <c r="K560" s="3">
        <v>101.49</v>
      </c>
      <c r="L560" s="3">
        <v>0</v>
      </c>
      <c r="M560" s="3">
        <v>0</v>
      </c>
      <c r="N560" s="3">
        <v>0</v>
      </c>
      <c r="O560" s="3">
        <v>13.1937</v>
      </c>
      <c r="P560" s="3">
        <v>125.40369999999999</v>
      </c>
      <c r="Q560">
        <v>3</v>
      </c>
    </row>
    <row r="561" spans="1:17" x14ac:dyDescent="0.25">
      <c r="A561" t="s">
        <v>567</v>
      </c>
      <c r="B561" t="s">
        <v>635</v>
      </c>
      <c r="C561" t="s">
        <v>1</v>
      </c>
      <c r="D561" t="s">
        <v>0</v>
      </c>
      <c r="E561">
        <v>53263</v>
      </c>
      <c r="F561" t="s">
        <v>418</v>
      </c>
      <c r="G561" t="s">
        <v>419</v>
      </c>
      <c r="H561" s="3">
        <v>7.26</v>
      </c>
      <c r="I561" s="3">
        <v>0</v>
      </c>
      <c r="J561" s="3">
        <v>0</v>
      </c>
      <c r="K561" s="3">
        <v>68.81</v>
      </c>
      <c r="L561" s="3">
        <v>0</v>
      </c>
      <c r="M561" s="3">
        <v>0</v>
      </c>
      <c r="N561" s="3">
        <v>0</v>
      </c>
      <c r="O561" s="3">
        <v>8.9453000000000014</v>
      </c>
      <c r="P561" s="3">
        <v>85.015300000000011</v>
      </c>
      <c r="Q561">
        <v>3</v>
      </c>
    </row>
    <row r="562" spans="1:17" x14ac:dyDescent="0.25">
      <c r="A562" t="s">
        <v>567</v>
      </c>
      <c r="B562" t="s">
        <v>655</v>
      </c>
      <c r="C562" t="s">
        <v>1</v>
      </c>
      <c r="D562" t="s">
        <v>0</v>
      </c>
      <c r="E562">
        <v>1581</v>
      </c>
      <c r="F562" t="s">
        <v>559</v>
      </c>
      <c r="G562" t="s">
        <v>560</v>
      </c>
      <c r="H562" s="3">
        <v>0</v>
      </c>
      <c r="I562" s="3">
        <v>0</v>
      </c>
      <c r="J562" s="3">
        <v>0</v>
      </c>
      <c r="K562" s="3">
        <v>4.41</v>
      </c>
      <c r="L562" s="3">
        <v>0</v>
      </c>
      <c r="M562" s="3">
        <v>0</v>
      </c>
      <c r="N562" s="3">
        <v>0</v>
      </c>
      <c r="O562" s="3">
        <v>0.57330000000000003</v>
      </c>
      <c r="P562" s="3">
        <v>4.9832999999999998</v>
      </c>
      <c r="Q562">
        <v>3</v>
      </c>
    </row>
    <row r="563" spans="1:17" x14ac:dyDescent="0.25">
      <c r="A563" t="s">
        <v>567</v>
      </c>
      <c r="B563" t="s">
        <v>546</v>
      </c>
      <c r="C563" t="s">
        <v>1</v>
      </c>
      <c r="D563" t="s">
        <v>0</v>
      </c>
      <c r="E563">
        <v>6203</v>
      </c>
      <c r="F563" t="s">
        <v>451</v>
      </c>
      <c r="G563" t="s">
        <v>452</v>
      </c>
      <c r="H563" s="3">
        <v>0.93</v>
      </c>
      <c r="I563" s="3">
        <v>0</v>
      </c>
      <c r="J563" s="3">
        <v>0</v>
      </c>
      <c r="K563" s="3">
        <v>8.0299999999999994</v>
      </c>
      <c r="L563" s="3">
        <v>0</v>
      </c>
      <c r="M563" s="3">
        <v>0</v>
      </c>
      <c r="N563" s="3">
        <v>0</v>
      </c>
      <c r="O563" s="3">
        <v>1.0439000000000001</v>
      </c>
      <c r="P563" s="3">
        <v>10.0039</v>
      </c>
      <c r="Q563">
        <v>3</v>
      </c>
    </row>
    <row r="564" spans="1:17" x14ac:dyDescent="0.25">
      <c r="A564" t="s">
        <v>567</v>
      </c>
      <c r="B564" t="s">
        <v>623</v>
      </c>
      <c r="C564" t="s">
        <v>1</v>
      </c>
      <c r="D564" t="s">
        <v>0</v>
      </c>
      <c r="E564">
        <v>658</v>
      </c>
      <c r="F564" t="s">
        <v>475</v>
      </c>
      <c r="G564" t="s">
        <v>476</v>
      </c>
      <c r="H564" s="3">
        <v>0</v>
      </c>
      <c r="I564" s="3">
        <v>0</v>
      </c>
      <c r="J564" s="3">
        <v>0</v>
      </c>
      <c r="K564" s="3">
        <v>40.71</v>
      </c>
      <c r="L564" s="3">
        <v>0</v>
      </c>
      <c r="M564" s="3">
        <v>0</v>
      </c>
      <c r="N564" s="3">
        <v>0</v>
      </c>
      <c r="O564" s="3">
        <v>5.2923</v>
      </c>
      <c r="P564" s="3">
        <v>46.002299999999998</v>
      </c>
      <c r="Q564">
        <v>3</v>
      </c>
    </row>
    <row r="565" spans="1:17" x14ac:dyDescent="0.25">
      <c r="A565" t="s">
        <v>567</v>
      </c>
      <c r="B565" t="s">
        <v>623</v>
      </c>
      <c r="C565" t="s">
        <v>1</v>
      </c>
      <c r="D565" t="s">
        <v>0</v>
      </c>
      <c r="E565">
        <v>685</v>
      </c>
      <c r="F565" t="s">
        <v>475</v>
      </c>
      <c r="G565" t="s">
        <v>476</v>
      </c>
      <c r="H565" s="3">
        <v>0</v>
      </c>
      <c r="I565" s="3">
        <v>0</v>
      </c>
      <c r="J565" s="3">
        <v>0</v>
      </c>
      <c r="K565" s="3">
        <v>28.08</v>
      </c>
      <c r="L565" s="3">
        <v>0</v>
      </c>
      <c r="M565" s="3">
        <v>0</v>
      </c>
      <c r="N565" s="3">
        <v>0</v>
      </c>
      <c r="O565" s="3">
        <v>3.6503999999999999</v>
      </c>
      <c r="P565" s="3">
        <v>31.730399999999999</v>
      </c>
      <c r="Q565">
        <v>3</v>
      </c>
    </row>
    <row r="566" spans="1:17" x14ac:dyDescent="0.25">
      <c r="A566" t="s">
        <v>567</v>
      </c>
      <c r="B566" t="s">
        <v>623</v>
      </c>
      <c r="C566" t="s">
        <v>1</v>
      </c>
      <c r="D566" t="s">
        <v>0</v>
      </c>
      <c r="E566">
        <v>659</v>
      </c>
      <c r="F566" t="s">
        <v>475</v>
      </c>
      <c r="G566" t="s">
        <v>476</v>
      </c>
      <c r="H566" s="3">
        <v>0</v>
      </c>
      <c r="I566" s="3">
        <v>0</v>
      </c>
      <c r="J566" s="3">
        <v>0</v>
      </c>
      <c r="K566" s="3">
        <v>39.590000000000003</v>
      </c>
      <c r="L566" s="3">
        <v>0</v>
      </c>
      <c r="M566" s="3">
        <v>0</v>
      </c>
      <c r="N566" s="3">
        <v>0</v>
      </c>
      <c r="O566" s="3">
        <v>5.1467000000000009</v>
      </c>
      <c r="P566" s="3">
        <v>44.736700000000006</v>
      </c>
      <c r="Q566">
        <v>3</v>
      </c>
    </row>
    <row r="567" spans="1:17" x14ac:dyDescent="0.25">
      <c r="A567" t="s">
        <v>567</v>
      </c>
      <c r="B567" t="s">
        <v>623</v>
      </c>
      <c r="C567" t="s">
        <v>1</v>
      </c>
      <c r="D567" t="s">
        <v>0</v>
      </c>
      <c r="E567">
        <v>14874</v>
      </c>
      <c r="F567" t="s">
        <v>453</v>
      </c>
      <c r="G567" t="s">
        <v>454</v>
      </c>
      <c r="H567" s="3">
        <v>0</v>
      </c>
      <c r="I567" s="3">
        <v>0</v>
      </c>
      <c r="J567" s="3">
        <v>0</v>
      </c>
      <c r="K567" s="3">
        <v>283.5</v>
      </c>
      <c r="L567" s="3">
        <v>0</v>
      </c>
      <c r="M567" s="3">
        <v>0</v>
      </c>
      <c r="N567" s="3">
        <v>0</v>
      </c>
      <c r="O567" s="3">
        <v>36.855000000000004</v>
      </c>
      <c r="P567" s="3">
        <v>320.35500000000002</v>
      </c>
      <c r="Q567">
        <v>3</v>
      </c>
    </row>
    <row r="568" spans="1:17" x14ac:dyDescent="0.25">
      <c r="A568" t="s">
        <v>567</v>
      </c>
      <c r="B568" t="s">
        <v>623</v>
      </c>
      <c r="C568" t="s">
        <v>1</v>
      </c>
      <c r="D568" t="s">
        <v>0</v>
      </c>
      <c r="E568">
        <v>53844</v>
      </c>
      <c r="F568" t="s">
        <v>418</v>
      </c>
      <c r="G568" t="s">
        <v>419</v>
      </c>
      <c r="H568" s="3">
        <v>9.68</v>
      </c>
      <c r="I568" s="3">
        <v>0</v>
      </c>
      <c r="J568" s="3">
        <v>0</v>
      </c>
      <c r="K568" s="3">
        <v>91.68</v>
      </c>
      <c r="L568" s="3">
        <v>0</v>
      </c>
      <c r="M568" s="3">
        <v>0</v>
      </c>
      <c r="N568" s="3">
        <v>0</v>
      </c>
      <c r="O568" s="3">
        <v>11.918400000000002</v>
      </c>
      <c r="P568" s="3">
        <v>113.27840000000002</v>
      </c>
      <c r="Q568">
        <v>3</v>
      </c>
    </row>
    <row r="569" spans="1:17" x14ac:dyDescent="0.25">
      <c r="A569" t="s">
        <v>567</v>
      </c>
      <c r="B569" t="s">
        <v>649</v>
      </c>
      <c r="C569" t="s">
        <v>1</v>
      </c>
      <c r="D569" t="s">
        <v>0</v>
      </c>
      <c r="E569">
        <v>661</v>
      </c>
      <c r="F569" t="s">
        <v>475</v>
      </c>
      <c r="G569" t="s">
        <v>476</v>
      </c>
      <c r="H569" s="3">
        <v>0</v>
      </c>
      <c r="I569" s="3">
        <v>0</v>
      </c>
      <c r="J569" s="3">
        <v>0</v>
      </c>
      <c r="K569" s="3">
        <v>69.91</v>
      </c>
      <c r="L569" s="3">
        <v>0</v>
      </c>
      <c r="M569" s="3">
        <v>0</v>
      </c>
      <c r="N569" s="3">
        <v>0</v>
      </c>
      <c r="O569" s="3">
        <v>9.0883000000000003</v>
      </c>
      <c r="P569" s="3">
        <v>78.9983</v>
      </c>
      <c r="Q569">
        <v>3</v>
      </c>
    </row>
    <row r="570" spans="1:17" x14ac:dyDescent="0.25">
      <c r="A570" t="s">
        <v>567</v>
      </c>
      <c r="B570" t="s">
        <v>649</v>
      </c>
      <c r="C570" t="s">
        <v>1</v>
      </c>
      <c r="D570" t="s">
        <v>0</v>
      </c>
      <c r="E570">
        <v>663</v>
      </c>
      <c r="F570" t="s">
        <v>475</v>
      </c>
      <c r="G570" t="s">
        <v>476</v>
      </c>
      <c r="H570" s="3">
        <v>0</v>
      </c>
      <c r="I570" s="3">
        <v>0</v>
      </c>
      <c r="J570" s="3">
        <v>0</v>
      </c>
      <c r="K570" s="3">
        <v>56.26</v>
      </c>
      <c r="L570" s="3">
        <v>0</v>
      </c>
      <c r="M570" s="3">
        <v>0</v>
      </c>
      <c r="N570" s="3">
        <v>0</v>
      </c>
      <c r="O570" s="3">
        <v>7.3137999999999996</v>
      </c>
      <c r="P570" s="3">
        <v>63.573799999999999</v>
      </c>
      <c r="Q570">
        <v>3</v>
      </c>
    </row>
    <row r="571" spans="1:17" x14ac:dyDescent="0.25">
      <c r="A571" t="s">
        <v>567</v>
      </c>
      <c r="B571" t="s">
        <v>649</v>
      </c>
      <c r="C571" t="s">
        <v>1</v>
      </c>
      <c r="D571" t="s">
        <v>0</v>
      </c>
      <c r="E571">
        <v>664</v>
      </c>
      <c r="F571" t="s">
        <v>475</v>
      </c>
      <c r="G571" t="s">
        <v>476</v>
      </c>
      <c r="H571" s="3">
        <v>0</v>
      </c>
      <c r="I571" s="3">
        <v>0</v>
      </c>
      <c r="J571" s="3">
        <v>0</v>
      </c>
      <c r="K571" s="3">
        <v>56.26</v>
      </c>
      <c r="L571" s="3">
        <v>0</v>
      </c>
      <c r="M571" s="3">
        <v>0</v>
      </c>
      <c r="N571" s="3">
        <v>0</v>
      </c>
      <c r="O571" s="3">
        <v>7.3137999999999996</v>
      </c>
      <c r="P571" s="3">
        <v>63.573799999999999</v>
      </c>
      <c r="Q571">
        <v>3</v>
      </c>
    </row>
    <row r="572" spans="1:17" x14ac:dyDescent="0.25">
      <c r="A572" t="s">
        <v>567</v>
      </c>
      <c r="B572" t="s">
        <v>649</v>
      </c>
      <c r="C572" t="s">
        <v>1</v>
      </c>
      <c r="D572" t="s">
        <v>0</v>
      </c>
      <c r="E572">
        <v>6043220</v>
      </c>
      <c r="F572" t="s">
        <v>471</v>
      </c>
      <c r="G572" t="s">
        <v>472</v>
      </c>
      <c r="H572" s="3">
        <v>0</v>
      </c>
      <c r="I572" s="3">
        <v>0</v>
      </c>
      <c r="J572" s="3">
        <v>0</v>
      </c>
      <c r="K572" s="3">
        <v>76.98</v>
      </c>
      <c r="L572" s="3">
        <v>0</v>
      </c>
      <c r="M572" s="3">
        <v>0</v>
      </c>
      <c r="N572" s="3">
        <v>0</v>
      </c>
      <c r="O572" s="3">
        <v>10.007400000000001</v>
      </c>
      <c r="P572" s="3">
        <v>86.987400000000008</v>
      </c>
      <c r="Q572">
        <v>3</v>
      </c>
    </row>
    <row r="573" spans="1:17" x14ac:dyDescent="0.25">
      <c r="A573" t="s">
        <v>567</v>
      </c>
      <c r="B573" t="s">
        <v>649</v>
      </c>
      <c r="C573" t="s">
        <v>1</v>
      </c>
      <c r="D573" t="s">
        <v>0</v>
      </c>
      <c r="E573">
        <v>209</v>
      </c>
      <c r="F573" t="s">
        <v>379</v>
      </c>
      <c r="G573" t="s">
        <v>660</v>
      </c>
      <c r="H573" s="3">
        <v>0</v>
      </c>
      <c r="I573" s="3">
        <v>0</v>
      </c>
      <c r="J573" s="3">
        <v>0</v>
      </c>
      <c r="K573" s="3">
        <v>1720</v>
      </c>
      <c r="L573" s="3">
        <v>0</v>
      </c>
      <c r="M573" s="3">
        <v>0</v>
      </c>
      <c r="N573" s="3">
        <v>0</v>
      </c>
      <c r="O573" s="3">
        <v>223.6</v>
      </c>
      <c r="P573" s="3">
        <v>1943.6</v>
      </c>
      <c r="Q573">
        <v>3</v>
      </c>
    </row>
    <row r="574" spans="1:17" x14ac:dyDescent="0.25">
      <c r="A574" t="s">
        <v>567</v>
      </c>
      <c r="B574" t="s">
        <v>649</v>
      </c>
      <c r="C574" t="s">
        <v>1</v>
      </c>
      <c r="D574" t="s">
        <v>0</v>
      </c>
      <c r="E574">
        <v>7017</v>
      </c>
      <c r="F574" t="s">
        <v>658</v>
      </c>
      <c r="G574" t="s">
        <v>659</v>
      </c>
      <c r="H574" s="3">
        <v>0</v>
      </c>
      <c r="I574" s="3">
        <v>0</v>
      </c>
      <c r="J574" s="3">
        <v>0</v>
      </c>
      <c r="K574" s="3">
        <v>19.36</v>
      </c>
      <c r="L574" s="3">
        <v>0</v>
      </c>
      <c r="M574" s="3">
        <v>0</v>
      </c>
      <c r="N574" s="3">
        <v>0</v>
      </c>
      <c r="O574" s="3">
        <v>2.5167999999999999</v>
      </c>
      <c r="P574" s="3">
        <v>21.876799999999999</v>
      </c>
      <c r="Q574">
        <v>3</v>
      </c>
    </row>
    <row r="575" spans="1:17" x14ac:dyDescent="0.25">
      <c r="A575" t="s">
        <v>567</v>
      </c>
      <c r="B575" t="s">
        <v>649</v>
      </c>
      <c r="C575" t="s">
        <v>1</v>
      </c>
      <c r="D575" t="s">
        <v>0</v>
      </c>
      <c r="E575">
        <v>168584</v>
      </c>
      <c r="F575" t="s">
        <v>425</v>
      </c>
      <c r="G575" t="s">
        <v>426</v>
      </c>
      <c r="H575" s="3">
        <v>3.26</v>
      </c>
      <c r="I575" s="3">
        <v>0</v>
      </c>
      <c r="J575" s="3">
        <v>0</v>
      </c>
      <c r="K575" s="3">
        <v>30.74</v>
      </c>
      <c r="L575" s="3">
        <v>0</v>
      </c>
      <c r="M575" s="3">
        <v>0</v>
      </c>
      <c r="N575" s="3">
        <v>0</v>
      </c>
      <c r="O575" s="3">
        <v>3.9962</v>
      </c>
      <c r="P575" s="3">
        <v>37.996200000000002</v>
      </c>
      <c r="Q575">
        <v>3</v>
      </c>
    </row>
    <row r="576" spans="1:17" x14ac:dyDescent="0.25">
      <c r="A576" t="s">
        <v>567</v>
      </c>
      <c r="B576" t="s">
        <v>634</v>
      </c>
      <c r="C576" t="s">
        <v>1</v>
      </c>
      <c r="D576" t="s">
        <v>0</v>
      </c>
      <c r="E576">
        <v>671</v>
      </c>
      <c r="F576" t="s">
        <v>475</v>
      </c>
      <c r="G576" t="s">
        <v>476</v>
      </c>
      <c r="H576" s="3">
        <v>0</v>
      </c>
      <c r="I576" s="3">
        <v>0</v>
      </c>
      <c r="J576" s="3">
        <v>0</v>
      </c>
      <c r="K576" s="3">
        <v>56.26</v>
      </c>
      <c r="L576" s="3">
        <v>0</v>
      </c>
      <c r="M576" s="3">
        <v>0</v>
      </c>
      <c r="N576" s="3">
        <v>0</v>
      </c>
      <c r="O576" s="3">
        <v>7.3137999999999996</v>
      </c>
      <c r="P576" s="3">
        <v>63.573799999999999</v>
      </c>
      <c r="Q576">
        <v>3</v>
      </c>
    </row>
    <row r="577" spans="1:17" x14ac:dyDescent="0.25">
      <c r="A577" t="s">
        <v>567</v>
      </c>
      <c r="B577" t="s">
        <v>634</v>
      </c>
      <c r="C577" t="s">
        <v>1</v>
      </c>
      <c r="D577" t="s">
        <v>0</v>
      </c>
      <c r="E577">
        <v>677</v>
      </c>
      <c r="F577" t="s">
        <v>475</v>
      </c>
      <c r="G577" t="s">
        <v>476</v>
      </c>
      <c r="H577" s="3">
        <v>0</v>
      </c>
      <c r="I577" s="3">
        <v>0</v>
      </c>
      <c r="J577" s="3">
        <v>0</v>
      </c>
      <c r="K577" s="3">
        <v>34.53</v>
      </c>
      <c r="L577" s="3">
        <v>0</v>
      </c>
      <c r="M577" s="3">
        <v>0</v>
      </c>
      <c r="N577" s="3">
        <v>0</v>
      </c>
      <c r="O577" s="3">
        <v>4.4889000000000001</v>
      </c>
      <c r="P577" s="3">
        <v>39.018900000000002</v>
      </c>
      <c r="Q577">
        <v>3</v>
      </c>
    </row>
    <row r="578" spans="1:17" x14ac:dyDescent="0.25">
      <c r="A578" t="s">
        <v>567</v>
      </c>
      <c r="B578" t="s">
        <v>634</v>
      </c>
      <c r="C578" t="s">
        <v>1</v>
      </c>
      <c r="D578" t="s">
        <v>0</v>
      </c>
      <c r="E578">
        <v>791</v>
      </c>
      <c r="F578" t="s">
        <v>667</v>
      </c>
      <c r="G578" t="s">
        <v>668</v>
      </c>
      <c r="H578" s="3">
        <v>13.72</v>
      </c>
      <c r="I578" s="3">
        <v>0</v>
      </c>
      <c r="J578" s="3">
        <v>0</v>
      </c>
      <c r="K578" s="3">
        <v>125.03</v>
      </c>
      <c r="L578" s="3">
        <v>0</v>
      </c>
      <c r="M578" s="3">
        <v>0</v>
      </c>
      <c r="N578" s="3">
        <v>0</v>
      </c>
      <c r="O578" s="3">
        <v>16.253900000000002</v>
      </c>
      <c r="P578" s="3">
        <v>155.00389999999999</v>
      </c>
      <c r="Q578">
        <v>3</v>
      </c>
    </row>
    <row r="579" spans="1:17" x14ac:dyDescent="0.25">
      <c r="A579" t="s">
        <v>567</v>
      </c>
      <c r="B579" t="s">
        <v>634</v>
      </c>
      <c r="C579" t="s">
        <v>1</v>
      </c>
      <c r="D579" t="s">
        <v>0</v>
      </c>
      <c r="E579">
        <v>120370</v>
      </c>
      <c r="F579" t="s">
        <v>459</v>
      </c>
      <c r="G579" t="s">
        <v>460</v>
      </c>
      <c r="H579" s="3">
        <v>2.41</v>
      </c>
      <c r="I579" s="3">
        <v>0</v>
      </c>
      <c r="J579" s="3">
        <v>0</v>
      </c>
      <c r="K579" s="3">
        <v>25.12</v>
      </c>
      <c r="L579" s="3">
        <v>0</v>
      </c>
      <c r="M579" s="3">
        <v>0</v>
      </c>
      <c r="N579" s="3">
        <v>0</v>
      </c>
      <c r="O579" s="3">
        <v>3.2656000000000001</v>
      </c>
      <c r="P579" s="3">
        <v>30.7956</v>
      </c>
      <c r="Q579">
        <v>3</v>
      </c>
    </row>
    <row r="580" spans="1:17" x14ac:dyDescent="0.25">
      <c r="A580" t="s">
        <v>567</v>
      </c>
      <c r="B580" t="s">
        <v>634</v>
      </c>
      <c r="C580" t="s">
        <v>1</v>
      </c>
      <c r="D580" t="s">
        <v>0</v>
      </c>
      <c r="E580">
        <v>168777</v>
      </c>
      <c r="F580" t="s">
        <v>425</v>
      </c>
      <c r="G580" t="s">
        <v>426</v>
      </c>
      <c r="H580" s="3">
        <v>6.58</v>
      </c>
      <c r="I580" s="3">
        <v>0</v>
      </c>
      <c r="J580" s="3">
        <v>0</v>
      </c>
      <c r="K580" s="3">
        <v>61.91</v>
      </c>
      <c r="L580" s="3">
        <v>0</v>
      </c>
      <c r="M580" s="3">
        <v>0</v>
      </c>
      <c r="N580" s="3">
        <v>0</v>
      </c>
      <c r="O580" s="3">
        <v>8.0482999999999993</v>
      </c>
      <c r="P580" s="3">
        <v>76.538299999999992</v>
      </c>
      <c r="Q580">
        <v>3</v>
      </c>
    </row>
    <row r="581" spans="1:17" x14ac:dyDescent="0.25">
      <c r="A581" t="s">
        <v>567</v>
      </c>
      <c r="B581" t="s">
        <v>634</v>
      </c>
      <c r="C581" t="s">
        <v>1</v>
      </c>
      <c r="D581" t="s">
        <v>0</v>
      </c>
      <c r="E581">
        <v>168791</v>
      </c>
      <c r="F581" t="s">
        <v>425</v>
      </c>
      <c r="G581" t="s">
        <v>426</v>
      </c>
      <c r="H581" s="3">
        <v>4.04</v>
      </c>
      <c r="I581" s="3">
        <v>0</v>
      </c>
      <c r="J581" s="3">
        <v>0</v>
      </c>
      <c r="K581" s="3">
        <v>38.020000000000003</v>
      </c>
      <c r="L581" s="3">
        <v>0</v>
      </c>
      <c r="M581" s="3">
        <v>0</v>
      </c>
      <c r="N581" s="3">
        <v>0</v>
      </c>
      <c r="O581" s="3">
        <v>4.9426000000000005</v>
      </c>
      <c r="P581" s="3">
        <v>47.002600000000001</v>
      </c>
      <c r="Q581">
        <v>3</v>
      </c>
    </row>
    <row r="582" spans="1:17" x14ac:dyDescent="0.25">
      <c r="A582" t="s">
        <v>567</v>
      </c>
      <c r="B582" t="s">
        <v>634</v>
      </c>
      <c r="C582" t="s">
        <v>1</v>
      </c>
      <c r="D582" t="s">
        <v>0</v>
      </c>
      <c r="E582">
        <v>54392</v>
      </c>
      <c r="F582" t="s">
        <v>418</v>
      </c>
      <c r="G582" t="s">
        <v>419</v>
      </c>
      <c r="H582" s="3">
        <v>7.58</v>
      </c>
      <c r="I582" s="3">
        <v>0</v>
      </c>
      <c r="J582" s="3">
        <v>0</v>
      </c>
      <c r="K582" s="3">
        <v>71.72</v>
      </c>
      <c r="L582" s="3">
        <v>0</v>
      </c>
      <c r="M582" s="3">
        <v>0</v>
      </c>
      <c r="N582" s="3">
        <v>0</v>
      </c>
      <c r="O582" s="3">
        <v>9.3236000000000008</v>
      </c>
      <c r="P582" s="3">
        <v>88.623599999999996</v>
      </c>
      <c r="Q582">
        <v>3</v>
      </c>
    </row>
    <row r="583" spans="1:17" x14ac:dyDescent="0.25">
      <c r="A583" t="s">
        <v>567</v>
      </c>
      <c r="B583" t="s">
        <v>634</v>
      </c>
      <c r="C583" t="s">
        <v>1</v>
      </c>
      <c r="D583" t="s">
        <v>0</v>
      </c>
      <c r="E583">
        <v>54266</v>
      </c>
      <c r="F583" t="s">
        <v>418</v>
      </c>
      <c r="G583" t="s">
        <v>419</v>
      </c>
      <c r="H583" s="3">
        <v>14.5</v>
      </c>
      <c r="I583" s="3">
        <v>0</v>
      </c>
      <c r="J583" s="3">
        <v>0</v>
      </c>
      <c r="K583" s="3">
        <v>137.26</v>
      </c>
      <c r="L583" s="3">
        <v>0</v>
      </c>
      <c r="M583" s="3">
        <v>0</v>
      </c>
      <c r="N583" s="3">
        <v>0</v>
      </c>
      <c r="O583" s="3">
        <v>17.843799999999998</v>
      </c>
      <c r="P583" s="3">
        <v>169.60379999999998</v>
      </c>
      <c r="Q583">
        <v>3</v>
      </c>
    </row>
    <row r="584" spans="1:17" x14ac:dyDescent="0.25">
      <c r="A584" t="s">
        <v>567</v>
      </c>
      <c r="B584" t="s">
        <v>671</v>
      </c>
      <c r="C584" t="s">
        <v>1</v>
      </c>
      <c r="D584" t="s">
        <v>0</v>
      </c>
      <c r="E584">
        <v>697</v>
      </c>
      <c r="F584" t="s">
        <v>475</v>
      </c>
      <c r="G584" t="s">
        <v>476</v>
      </c>
      <c r="H584" s="3">
        <v>0</v>
      </c>
      <c r="I584" s="3">
        <v>0</v>
      </c>
      <c r="J584" s="3">
        <v>0</v>
      </c>
      <c r="K584" s="3">
        <v>56.26</v>
      </c>
      <c r="L584" s="3">
        <v>0</v>
      </c>
      <c r="M584" s="3">
        <v>0</v>
      </c>
      <c r="N584" s="3">
        <v>0</v>
      </c>
      <c r="O584" s="3">
        <v>7.3137999999999996</v>
      </c>
      <c r="P584" s="3">
        <v>63.573799999999999</v>
      </c>
      <c r="Q584">
        <v>3</v>
      </c>
    </row>
    <row r="585" spans="1:17" x14ac:dyDescent="0.25">
      <c r="A585" t="s">
        <v>567</v>
      </c>
      <c r="B585" t="s">
        <v>671</v>
      </c>
      <c r="C585" t="s">
        <v>1</v>
      </c>
      <c r="D585" t="s">
        <v>0</v>
      </c>
      <c r="E585">
        <v>686</v>
      </c>
      <c r="F585" t="s">
        <v>475</v>
      </c>
      <c r="G585" t="s">
        <v>476</v>
      </c>
      <c r="H585" s="3">
        <v>0</v>
      </c>
      <c r="I585" s="3">
        <v>0</v>
      </c>
      <c r="J585" s="3">
        <v>0</v>
      </c>
      <c r="K585" s="3">
        <v>28.08</v>
      </c>
      <c r="L585" s="3">
        <v>0</v>
      </c>
      <c r="M585" s="3">
        <v>0</v>
      </c>
      <c r="N585" s="3">
        <v>0</v>
      </c>
      <c r="O585" s="3">
        <v>3.6503999999999999</v>
      </c>
      <c r="P585" s="3">
        <v>31.730399999999999</v>
      </c>
      <c r="Q585">
        <v>3</v>
      </c>
    </row>
    <row r="586" spans="1:17" x14ac:dyDescent="0.25">
      <c r="A586" t="s">
        <v>567</v>
      </c>
      <c r="B586" t="s">
        <v>554</v>
      </c>
      <c r="C586" t="s">
        <v>1</v>
      </c>
      <c r="D586" t="s">
        <v>0</v>
      </c>
      <c r="E586">
        <v>456</v>
      </c>
      <c r="F586" t="s">
        <v>435</v>
      </c>
      <c r="G586" t="s">
        <v>436</v>
      </c>
      <c r="H586" s="3">
        <v>0</v>
      </c>
      <c r="I586" s="3">
        <v>0</v>
      </c>
      <c r="J586" s="3">
        <v>0</v>
      </c>
      <c r="K586" s="3">
        <v>1503.2</v>
      </c>
      <c r="L586" s="3">
        <v>0</v>
      </c>
      <c r="M586" s="3">
        <v>0</v>
      </c>
      <c r="N586" s="3">
        <v>0</v>
      </c>
      <c r="O586" s="3">
        <v>195.41600000000003</v>
      </c>
      <c r="P586" s="3">
        <v>1698.616</v>
      </c>
      <c r="Q586">
        <v>3</v>
      </c>
    </row>
    <row r="587" spans="1:17" x14ac:dyDescent="0.25">
      <c r="A587" t="s">
        <v>567</v>
      </c>
      <c r="B587" t="s">
        <v>554</v>
      </c>
      <c r="C587" t="s">
        <v>1</v>
      </c>
      <c r="D587" t="s">
        <v>0</v>
      </c>
      <c r="E587">
        <v>3670834</v>
      </c>
      <c r="F587" t="s">
        <v>433</v>
      </c>
      <c r="G587" t="s">
        <v>434</v>
      </c>
      <c r="H587" s="3">
        <v>0</v>
      </c>
      <c r="I587" s="3">
        <v>0</v>
      </c>
      <c r="J587" s="3">
        <v>0</v>
      </c>
      <c r="K587" s="3">
        <v>75.63</v>
      </c>
      <c r="L587" s="3">
        <v>0</v>
      </c>
      <c r="M587" s="3">
        <v>0</v>
      </c>
      <c r="N587" s="3">
        <v>0</v>
      </c>
      <c r="O587" s="3">
        <v>9.8318999999999992</v>
      </c>
      <c r="P587" s="3">
        <v>85.4619</v>
      </c>
      <c r="Q587">
        <v>3</v>
      </c>
    </row>
    <row r="588" spans="1:17" x14ac:dyDescent="0.25">
      <c r="A588" t="s">
        <v>567</v>
      </c>
      <c r="B588" t="s">
        <v>648</v>
      </c>
      <c r="C588" t="s">
        <v>1</v>
      </c>
      <c r="D588" t="s">
        <v>0</v>
      </c>
      <c r="E588">
        <v>118525</v>
      </c>
      <c r="F588" t="s">
        <v>491</v>
      </c>
      <c r="G588" t="s">
        <v>492</v>
      </c>
      <c r="H588" s="3">
        <v>0</v>
      </c>
      <c r="I588" s="3">
        <v>0</v>
      </c>
      <c r="J588" s="3">
        <v>0</v>
      </c>
      <c r="K588" s="3">
        <v>218.6</v>
      </c>
      <c r="L588" s="3">
        <v>0</v>
      </c>
      <c r="M588" s="3">
        <v>0</v>
      </c>
      <c r="N588" s="3">
        <v>0</v>
      </c>
      <c r="O588" s="3">
        <v>28.417999999999999</v>
      </c>
      <c r="P588" s="3">
        <v>247.018</v>
      </c>
      <c r="Q588">
        <v>3</v>
      </c>
    </row>
    <row r="589" spans="1:17" x14ac:dyDescent="0.25">
      <c r="A589" t="s">
        <v>567</v>
      </c>
      <c r="B589" t="s">
        <v>648</v>
      </c>
      <c r="C589" t="s">
        <v>1</v>
      </c>
      <c r="D589" t="s">
        <v>0</v>
      </c>
      <c r="E589">
        <v>704</v>
      </c>
      <c r="F589" t="s">
        <v>475</v>
      </c>
      <c r="G589" t="s">
        <v>476</v>
      </c>
      <c r="H589" s="3">
        <v>0</v>
      </c>
      <c r="I589" s="3">
        <v>0</v>
      </c>
      <c r="J589" s="3">
        <v>0</v>
      </c>
      <c r="K589" s="3">
        <v>36.22</v>
      </c>
      <c r="L589" s="3">
        <v>0</v>
      </c>
      <c r="M589" s="3">
        <v>0</v>
      </c>
      <c r="N589" s="3">
        <v>0</v>
      </c>
      <c r="O589" s="3">
        <v>4.7085999999999997</v>
      </c>
      <c r="P589" s="3">
        <v>40.928599999999996</v>
      </c>
      <c r="Q589">
        <v>3</v>
      </c>
    </row>
    <row r="590" spans="1:17" x14ac:dyDescent="0.25">
      <c r="A590" t="s">
        <v>567</v>
      </c>
      <c r="B590" t="s">
        <v>648</v>
      </c>
      <c r="C590" t="s">
        <v>1</v>
      </c>
      <c r="D590" t="s">
        <v>0</v>
      </c>
      <c r="E590">
        <v>169068</v>
      </c>
      <c r="F590" t="s">
        <v>425</v>
      </c>
      <c r="G590" t="s">
        <v>426</v>
      </c>
      <c r="H590" s="3">
        <v>3.01</v>
      </c>
      <c r="I590" s="3">
        <v>0</v>
      </c>
      <c r="J590" s="3">
        <v>0</v>
      </c>
      <c r="K590" s="3">
        <v>28.31</v>
      </c>
      <c r="L590" s="3">
        <v>0</v>
      </c>
      <c r="M590" s="3">
        <v>0</v>
      </c>
      <c r="N590" s="3">
        <v>0</v>
      </c>
      <c r="O590" s="3">
        <v>3.6802999999999999</v>
      </c>
      <c r="P590" s="3">
        <v>35.000300000000003</v>
      </c>
      <c r="Q590">
        <v>3</v>
      </c>
    </row>
    <row r="591" spans="1:17" x14ac:dyDescent="0.25">
      <c r="A591" t="s">
        <v>567</v>
      </c>
      <c r="B591" t="s">
        <v>648</v>
      </c>
      <c r="C591" t="s">
        <v>1</v>
      </c>
      <c r="D591" t="s">
        <v>0</v>
      </c>
      <c r="E591">
        <v>169125</v>
      </c>
      <c r="F591" t="s">
        <v>425</v>
      </c>
      <c r="G591" t="s">
        <v>426</v>
      </c>
      <c r="H591" s="3">
        <v>5.16</v>
      </c>
      <c r="I591" s="3">
        <v>0</v>
      </c>
      <c r="J591" s="3">
        <v>0</v>
      </c>
      <c r="K591" s="3">
        <v>48.59</v>
      </c>
      <c r="L591" s="3">
        <v>0</v>
      </c>
      <c r="M591" s="3">
        <v>0</v>
      </c>
      <c r="N591" s="3">
        <v>0</v>
      </c>
      <c r="O591" s="3">
        <v>6.3167000000000009</v>
      </c>
      <c r="P591" s="3">
        <v>60.066699999999997</v>
      </c>
      <c r="Q591">
        <v>3</v>
      </c>
    </row>
    <row r="592" spans="1:17" x14ac:dyDescent="0.25">
      <c r="A592" t="s">
        <v>567</v>
      </c>
      <c r="B592" t="s">
        <v>633</v>
      </c>
      <c r="C592" t="s">
        <v>1</v>
      </c>
      <c r="D592" t="s">
        <v>0</v>
      </c>
      <c r="E592">
        <v>478</v>
      </c>
      <c r="F592" t="s">
        <v>435</v>
      </c>
      <c r="G592" t="s">
        <v>436</v>
      </c>
      <c r="H592" s="3">
        <v>0</v>
      </c>
      <c r="I592" s="3">
        <v>0</v>
      </c>
      <c r="J592" s="3">
        <v>0</v>
      </c>
      <c r="K592" s="3">
        <v>1294.8</v>
      </c>
      <c r="L592" s="3">
        <v>0</v>
      </c>
      <c r="M592" s="3">
        <v>0</v>
      </c>
      <c r="N592" s="3">
        <v>0</v>
      </c>
      <c r="O592" s="3">
        <v>168.32400000000001</v>
      </c>
      <c r="P592" s="3">
        <v>1463.124</v>
      </c>
      <c r="Q592">
        <v>3</v>
      </c>
    </row>
    <row r="593" spans="1:17" x14ac:dyDescent="0.25">
      <c r="A593" t="s">
        <v>567</v>
      </c>
      <c r="B593" t="s">
        <v>633</v>
      </c>
      <c r="C593" t="s">
        <v>1</v>
      </c>
      <c r="D593" t="s">
        <v>0</v>
      </c>
      <c r="E593">
        <v>55074</v>
      </c>
      <c r="F593" t="s">
        <v>418</v>
      </c>
      <c r="G593" t="s">
        <v>419</v>
      </c>
      <c r="H593" s="3">
        <v>11.29</v>
      </c>
      <c r="I593" s="3">
        <v>0</v>
      </c>
      <c r="J593" s="3">
        <v>0</v>
      </c>
      <c r="K593" s="3">
        <v>106.94</v>
      </c>
      <c r="L593" s="3">
        <v>0</v>
      </c>
      <c r="M593" s="3">
        <v>0</v>
      </c>
      <c r="N593" s="3">
        <v>0</v>
      </c>
      <c r="O593" s="3">
        <v>13.902200000000001</v>
      </c>
      <c r="P593" s="3">
        <v>132.13219999999998</v>
      </c>
      <c r="Q593">
        <v>3</v>
      </c>
    </row>
    <row r="594" spans="1:17" x14ac:dyDescent="0.25">
      <c r="A594" t="s">
        <v>516</v>
      </c>
      <c r="B594" t="s">
        <v>543</v>
      </c>
      <c r="C594" t="s">
        <v>1</v>
      </c>
      <c r="D594" t="s">
        <v>0</v>
      </c>
      <c r="E594">
        <v>320</v>
      </c>
      <c r="F594" t="s">
        <v>475</v>
      </c>
      <c r="G594" t="s">
        <v>476</v>
      </c>
      <c r="H594" s="3">
        <v>0</v>
      </c>
      <c r="I594" s="3">
        <v>0</v>
      </c>
      <c r="J594" s="3">
        <v>0</v>
      </c>
      <c r="K594" s="3">
        <v>106.42</v>
      </c>
      <c r="L594" s="3">
        <v>0</v>
      </c>
      <c r="M594" s="3">
        <v>0</v>
      </c>
      <c r="N594" s="3">
        <v>0</v>
      </c>
      <c r="O594" s="3">
        <v>13.8346</v>
      </c>
      <c r="P594" s="3">
        <v>120.2546</v>
      </c>
      <c r="Q594">
        <v>3</v>
      </c>
    </row>
    <row r="595" spans="1:17" x14ac:dyDescent="0.25">
      <c r="A595" t="s">
        <v>516</v>
      </c>
      <c r="B595" t="s">
        <v>534</v>
      </c>
      <c r="C595" t="s">
        <v>1</v>
      </c>
      <c r="D595" t="s">
        <v>0</v>
      </c>
      <c r="E595">
        <v>293</v>
      </c>
      <c r="F595" t="s">
        <v>475</v>
      </c>
      <c r="G595" t="s">
        <v>476</v>
      </c>
      <c r="H595" s="3">
        <v>0</v>
      </c>
      <c r="I595" s="3">
        <v>0</v>
      </c>
      <c r="J595" s="3">
        <v>0</v>
      </c>
      <c r="K595" s="3">
        <v>66.38</v>
      </c>
      <c r="L595" s="3">
        <v>0</v>
      </c>
      <c r="M595" s="3">
        <v>0</v>
      </c>
      <c r="N595" s="3">
        <v>0</v>
      </c>
      <c r="O595" s="3">
        <v>8.6294000000000004</v>
      </c>
      <c r="P595" s="3">
        <v>75.009399999999999</v>
      </c>
      <c r="Q595">
        <v>3</v>
      </c>
    </row>
    <row r="596" spans="1:17" x14ac:dyDescent="0.25">
      <c r="A596" t="s">
        <v>516</v>
      </c>
      <c r="B596" t="s">
        <v>547</v>
      </c>
      <c r="C596" t="s">
        <v>1</v>
      </c>
      <c r="D596" t="s">
        <v>0</v>
      </c>
      <c r="E596">
        <v>418</v>
      </c>
      <c r="F596" t="s">
        <v>475</v>
      </c>
      <c r="G596" t="s">
        <v>476</v>
      </c>
      <c r="H596" s="3">
        <v>0</v>
      </c>
      <c r="I596" s="3">
        <v>0</v>
      </c>
      <c r="J596" s="3">
        <v>0</v>
      </c>
      <c r="K596" s="3">
        <v>72.72</v>
      </c>
      <c r="L596" s="3">
        <v>0</v>
      </c>
      <c r="M596" s="3">
        <v>0</v>
      </c>
      <c r="N596" s="3">
        <v>0</v>
      </c>
      <c r="O596" s="3">
        <v>9.4535999999999998</v>
      </c>
      <c r="P596" s="3">
        <v>82.173599999999993</v>
      </c>
      <c r="Q596">
        <v>3</v>
      </c>
    </row>
    <row r="597" spans="1:17" x14ac:dyDescent="0.25">
      <c r="A597" t="s">
        <v>516</v>
      </c>
      <c r="B597" t="s">
        <v>526</v>
      </c>
      <c r="C597" t="s">
        <v>1</v>
      </c>
      <c r="D597" t="s">
        <v>0</v>
      </c>
      <c r="E597">
        <v>351</v>
      </c>
      <c r="F597" t="s">
        <v>475</v>
      </c>
      <c r="G597" t="s">
        <v>476</v>
      </c>
      <c r="H597" s="3">
        <v>0</v>
      </c>
      <c r="I597" s="3">
        <v>0</v>
      </c>
      <c r="J597" s="3">
        <v>0</v>
      </c>
      <c r="K597" s="3">
        <v>104.17</v>
      </c>
      <c r="L597" s="3">
        <v>0</v>
      </c>
      <c r="M597" s="3">
        <v>0</v>
      </c>
      <c r="N597" s="3">
        <v>0</v>
      </c>
      <c r="O597" s="3">
        <v>13.542100000000001</v>
      </c>
      <c r="P597" s="3">
        <v>117.71210000000001</v>
      </c>
      <c r="Q597">
        <v>3</v>
      </c>
    </row>
    <row r="598" spans="1:17" x14ac:dyDescent="0.25">
      <c r="A598" t="s">
        <v>516</v>
      </c>
      <c r="B598" t="s">
        <v>541</v>
      </c>
      <c r="C598" t="s">
        <v>1</v>
      </c>
      <c r="D598" t="s">
        <v>0</v>
      </c>
      <c r="E598">
        <v>263</v>
      </c>
      <c r="F598" t="s">
        <v>475</v>
      </c>
      <c r="G598" t="s">
        <v>476</v>
      </c>
      <c r="H598" s="3">
        <v>0</v>
      </c>
      <c r="I598" s="3">
        <v>0</v>
      </c>
      <c r="J598" s="3">
        <v>0</v>
      </c>
      <c r="K598" s="3">
        <v>90.69</v>
      </c>
      <c r="L598" s="3">
        <v>0</v>
      </c>
      <c r="M598" s="3">
        <v>0</v>
      </c>
      <c r="N598" s="3">
        <v>0</v>
      </c>
      <c r="O598" s="3">
        <v>11.7897</v>
      </c>
      <c r="P598" s="3">
        <v>102.47969999999999</v>
      </c>
      <c r="Q598">
        <v>3</v>
      </c>
    </row>
    <row r="599" spans="1:17" x14ac:dyDescent="0.25">
      <c r="A599" t="s">
        <v>516</v>
      </c>
      <c r="B599" t="s">
        <v>554</v>
      </c>
      <c r="C599" t="s">
        <v>1</v>
      </c>
      <c r="D599" t="s">
        <v>0</v>
      </c>
      <c r="E599">
        <v>467</v>
      </c>
      <c r="F599" t="s">
        <v>475</v>
      </c>
      <c r="G599" t="s">
        <v>476</v>
      </c>
      <c r="H599" s="3">
        <v>0</v>
      </c>
      <c r="I599" s="3">
        <v>0</v>
      </c>
      <c r="J599" s="3">
        <v>0</v>
      </c>
      <c r="K599" s="3">
        <v>56.26</v>
      </c>
      <c r="L599" s="3">
        <v>0</v>
      </c>
      <c r="M599" s="3">
        <v>0</v>
      </c>
      <c r="N599" s="3">
        <v>0</v>
      </c>
      <c r="O599" s="3">
        <v>7.3137999999999996</v>
      </c>
      <c r="P599" s="3">
        <v>63.573799999999999</v>
      </c>
      <c r="Q599">
        <v>3</v>
      </c>
    </row>
    <row r="600" spans="1:17" x14ac:dyDescent="0.25">
      <c r="A600" t="s">
        <v>516</v>
      </c>
      <c r="B600" t="s">
        <v>544</v>
      </c>
      <c r="C600" t="s">
        <v>1</v>
      </c>
      <c r="D600" t="s">
        <v>0</v>
      </c>
      <c r="E600">
        <v>388</v>
      </c>
      <c r="F600" t="s">
        <v>475</v>
      </c>
      <c r="G600" t="s">
        <v>476</v>
      </c>
      <c r="H600" s="3">
        <v>0</v>
      </c>
      <c r="I600" s="3">
        <v>0</v>
      </c>
      <c r="J600" s="3">
        <v>0</v>
      </c>
      <c r="K600" s="3">
        <v>56.26</v>
      </c>
      <c r="L600" s="3">
        <v>0</v>
      </c>
      <c r="M600" s="3">
        <v>0</v>
      </c>
      <c r="N600" s="3">
        <v>0</v>
      </c>
      <c r="O600" s="3">
        <v>7.3137999999999996</v>
      </c>
      <c r="P600" s="3">
        <v>63.573799999999999</v>
      </c>
      <c r="Q600">
        <v>3</v>
      </c>
    </row>
    <row r="601" spans="1:17" x14ac:dyDescent="0.25">
      <c r="A601" t="s">
        <v>516</v>
      </c>
      <c r="B601" t="s">
        <v>525</v>
      </c>
      <c r="C601" t="s">
        <v>1</v>
      </c>
      <c r="D601" t="s">
        <v>0</v>
      </c>
      <c r="E601">
        <v>336</v>
      </c>
      <c r="F601" t="s">
        <v>475</v>
      </c>
      <c r="G601" t="s">
        <v>476</v>
      </c>
      <c r="H601" s="3">
        <v>0</v>
      </c>
      <c r="I601" s="3">
        <v>0</v>
      </c>
      <c r="J601" s="3">
        <v>0</v>
      </c>
      <c r="K601" s="3">
        <v>56.26</v>
      </c>
      <c r="L601" s="3">
        <v>0</v>
      </c>
      <c r="M601" s="3">
        <v>0</v>
      </c>
      <c r="N601" s="3">
        <v>0</v>
      </c>
      <c r="O601" s="3">
        <v>7.3137999999999996</v>
      </c>
      <c r="P601" s="3">
        <v>63.573799999999999</v>
      </c>
      <c r="Q601">
        <v>3</v>
      </c>
    </row>
    <row r="602" spans="1:17" x14ac:dyDescent="0.25">
      <c r="A602" t="s">
        <v>516</v>
      </c>
      <c r="B602" t="s">
        <v>535</v>
      </c>
      <c r="C602" t="s">
        <v>1</v>
      </c>
      <c r="D602" t="s">
        <v>0</v>
      </c>
      <c r="E602">
        <v>285</v>
      </c>
      <c r="F602" t="s">
        <v>475</v>
      </c>
      <c r="G602" t="s">
        <v>476</v>
      </c>
      <c r="H602" s="3">
        <v>0</v>
      </c>
      <c r="I602" s="3">
        <v>0</v>
      </c>
      <c r="J602" s="3">
        <v>0</v>
      </c>
      <c r="K602" s="3">
        <v>56.26</v>
      </c>
      <c r="L602" s="3">
        <v>0</v>
      </c>
      <c r="M602" s="3">
        <v>0</v>
      </c>
      <c r="N602" s="3">
        <v>0</v>
      </c>
      <c r="O602" s="3">
        <v>7.3137999999999996</v>
      </c>
      <c r="P602" s="3">
        <v>63.573799999999999</v>
      </c>
      <c r="Q602">
        <v>3</v>
      </c>
    </row>
    <row r="603" spans="1:17" x14ac:dyDescent="0.25">
      <c r="A603" t="s">
        <v>516</v>
      </c>
      <c r="B603" t="s">
        <v>538</v>
      </c>
      <c r="C603" t="s">
        <v>1</v>
      </c>
      <c r="D603" t="s">
        <v>0</v>
      </c>
      <c r="E603">
        <v>232</v>
      </c>
      <c r="F603" t="s">
        <v>475</v>
      </c>
      <c r="G603" t="s">
        <v>476</v>
      </c>
      <c r="H603" s="3">
        <v>0</v>
      </c>
      <c r="I603" s="3">
        <v>0</v>
      </c>
      <c r="J603" s="3">
        <v>0</v>
      </c>
      <c r="K603" s="3">
        <v>56.26</v>
      </c>
      <c r="L603" s="3">
        <v>0</v>
      </c>
      <c r="M603" s="3">
        <v>0</v>
      </c>
      <c r="N603" s="3">
        <v>0</v>
      </c>
      <c r="O603" s="3">
        <v>7.3137999999999996</v>
      </c>
      <c r="P603" s="3">
        <v>63.573799999999999</v>
      </c>
      <c r="Q603">
        <v>3</v>
      </c>
    </row>
    <row r="604" spans="1:17" x14ac:dyDescent="0.25">
      <c r="A604" t="s">
        <v>516</v>
      </c>
      <c r="B604" t="s">
        <v>547</v>
      </c>
      <c r="C604" t="s">
        <v>1</v>
      </c>
      <c r="D604" t="s">
        <v>0</v>
      </c>
      <c r="E604">
        <v>424</v>
      </c>
      <c r="F604" t="s">
        <v>475</v>
      </c>
      <c r="G604" t="s">
        <v>476</v>
      </c>
      <c r="H604" s="3">
        <v>0</v>
      </c>
      <c r="I604" s="3">
        <v>0</v>
      </c>
      <c r="J604" s="3">
        <v>0</v>
      </c>
      <c r="K604" s="3">
        <v>56.26</v>
      </c>
      <c r="L604" s="3">
        <v>0</v>
      </c>
      <c r="M604" s="3">
        <v>0</v>
      </c>
      <c r="N604" s="3">
        <v>0</v>
      </c>
      <c r="O604" s="3">
        <v>7.3137999999999996</v>
      </c>
      <c r="P604" s="3">
        <v>63.573799999999999</v>
      </c>
      <c r="Q604">
        <v>3</v>
      </c>
    </row>
    <row r="605" spans="1:17" x14ac:dyDescent="0.25">
      <c r="A605" t="s">
        <v>516</v>
      </c>
      <c r="B605" t="s">
        <v>532</v>
      </c>
      <c r="C605" t="s">
        <v>1</v>
      </c>
      <c r="D605" t="s">
        <v>0</v>
      </c>
      <c r="E605">
        <v>415</v>
      </c>
      <c r="F605" t="s">
        <v>475</v>
      </c>
      <c r="G605" t="s">
        <v>476</v>
      </c>
      <c r="H605" s="3">
        <v>0</v>
      </c>
      <c r="I605" s="3">
        <v>0</v>
      </c>
      <c r="J605" s="3">
        <v>0</v>
      </c>
      <c r="K605" s="3">
        <v>56.26</v>
      </c>
      <c r="L605" s="3">
        <v>0</v>
      </c>
      <c r="M605" s="3">
        <v>0</v>
      </c>
      <c r="N605" s="3">
        <v>0</v>
      </c>
      <c r="O605" s="3">
        <v>7.3137999999999996</v>
      </c>
      <c r="P605" s="3">
        <v>63.573799999999999</v>
      </c>
      <c r="Q605">
        <v>3</v>
      </c>
    </row>
    <row r="606" spans="1:17" x14ac:dyDescent="0.25">
      <c r="A606" t="s">
        <v>516</v>
      </c>
      <c r="B606" t="s">
        <v>517</v>
      </c>
      <c r="C606" t="s">
        <v>1</v>
      </c>
      <c r="D606" t="s">
        <v>0</v>
      </c>
      <c r="E606">
        <v>378</v>
      </c>
      <c r="F606" t="s">
        <v>475</v>
      </c>
      <c r="G606" t="s">
        <v>476</v>
      </c>
      <c r="H606" s="3">
        <v>0</v>
      </c>
      <c r="I606" s="3">
        <v>0</v>
      </c>
      <c r="J606" s="3">
        <v>0</v>
      </c>
      <c r="K606" s="3">
        <v>56.26</v>
      </c>
      <c r="L606" s="3">
        <v>0</v>
      </c>
      <c r="M606" s="3">
        <v>0</v>
      </c>
      <c r="N606" s="3">
        <v>0</v>
      </c>
      <c r="O606" s="3">
        <v>7.3137999999999996</v>
      </c>
      <c r="P606" s="3">
        <v>63.573799999999999</v>
      </c>
      <c r="Q606">
        <v>3</v>
      </c>
    </row>
    <row r="607" spans="1:17" x14ac:dyDescent="0.25">
      <c r="A607" t="s">
        <v>516</v>
      </c>
      <c r="B607" t="s">
        <v>526</v>
      </c>
      <c r="C607" t="s">
        <v>1</v>
      </c>
      <c r="D607" t="s">
        <v>0</v>
      </c>
      <c r="E607">
        <v>350</v>
      </c>
      <c r="F607" t="s">
        <v>475</v>
      </c>
      <c r="G607" t="s">
        <v>476</v>
      </c>
      <c r="H607" s="3">
        <v>0</v>
      </c>
      <c r="I607" s="3">
        <v>0</v>
      </c>
      <c r="J607" s="3">
        <v>0</v>
      </c>
      <c r="K607" s="3">
        <v>56.26</v>
      </c>
      <c r="L607" s="3">
        <v>0</v>
      </c>
      <c r="M607" s="3">
        <v>0</v>
      </c>
      <c r="N607" s="3">
        <v>0</v>
      </c>
      <c r="O607" s="3">
        <v>7.3137999999999996</v>
      </c>
      <c r="P607" s="3">
        <v>63.573799999999999</v>
      </c>
      <c r="Q607">
        <v>3</v>
      </c>
    </row>
    <row r="608" spans="1:17" x14ac:dyDescent="0.25">
      <c r="A608" t="s">
        <v>516</v>
      </c>
      <c r="B608" t="s">
        <v>524</v>
      </c>
      <c r="C608" t="s">
        <v>1</v>
      </c>
      <c r="D608" t="s">
        <v>0</v>
      </c>
      <c r="E608">
        <v>307</v>
      </c>
      <c r="F608" t="s">
        <v>475</v>
      </c>
      <c r="G608" t="s">
        <v>476</v>
      </c>
      <c r="H608" s="3">
        <v>0</v>
      </c>
      <c r="I608" s="3">
        <v>0</v>
      </c>
      <c r="J608" s="3">
        <v>0</v>
      </c>
      <c r="K608" s="3">
        <v>56.26</v>
      </c>
      <c r="L608" s="3">
        <v>0</v>
      </c>
      <c r="M608" s="3">
        <v>0</v>
      </c>
      <c r="N608" s="3">
        <v>0</v>
      </c>
      <c r="O608" s="3">
        <v>7.3137999999999996</v>
      </c>
      <c r="P608" s="3">
        <v>63.573799999999999</v>
      </c>
      <c r="Q608">
        <v>3</v>
      </c>
    </row>
    <row r="609" spans="1:17" x14ac:dyDescent="0.25">
      <c r="A609" t="s">
        <v>516</v>
      </c>
      <c r="B609" t="s">
        <v>534</v>
      </c>
      <c r="C609" t="s">
        <v>1</v>
      </c>
      <c r="D609" t="s">
        <v>0</v>
      </c>
      <c r="E609">
        <v>292</v>
      </c>
      <c r="F609" t="s">
        <v>475</v>
      </c>
      <c r="G609" t="s">
        <v>476</v>
      </c>
      <c r="H609" s="3">
        <v>0</v>
      </c>
      <c r="I609" s="3">
        <v>0</v>
      </c>
      <c r="J609" s="3">
        <v>0</v>
      </c>
      <c r="K609" s="3">
        <v>56.26</v>
      </c>
      <c r="L609" s="3">
        <v>0</v>
      </c>
      <c r="M609" s="3">
        <v>0</v>
      </c>
      <c r="N609" s="3">
        <v>0</v>
      </c>
      <c r="O609" s="3">
        <v>7.3137999999999996</v>
      </c>
      <c r="P609" s="3">
        <v>63.573799999999999</v>
      </c>
      <c r="Q609">
        <v>3</v>
      </c>
    </row>
    <row r="610" spans="1:17" x14ac:dyDescent="0.25">
      <c r="A610" t="s">
        <v>516</v>
      </c>
      <c r="B610" t="s">
        <v>536</v>
      </c>
      <c r="C610" t="s">
        <v>1</v>
      </c>
      <c r="D610" t="s">
        <v>0</v>
      </c>
      <c r="E610">
        <v>261</v>
      </c>
      <c r="F610" t="s">
        <v>475</v>
      </c>
      <c r="G610" t="s">
        <v>476</v>
      </c>
      <c r="H610" s="3">
        <v>0</v>
      </c>
      <c r="I610" s="3">
        <v>0</v>
      </c>
      <c r="J610" s="3">
        <v>0</v>
      </c>
      <c r="K610" s="3">
        <v>56.26</v>
      </c>
      <c r="L610" s="3">
        <v>0</v>
      </c>
      <c r="M610" s="3">
        <v>0</v>
      </c>
      <c r="N610" s="3">
        <v>0</v>
      </c>
      <c r="O610" s="3">
        <v>7.3137999999999996</v>
      </c>
      <c r="P610" s="3">
        <v>63.573799999999999</v>
      </c>
      <c r="Q610">
        <v>3</v>
      </c>
    </row>
    <row r="611" spans="1:17" x14ac:dyDescent="0.25">
      <c r="A611" t="s">
        <v>516</v>
      </c>
      <c r="B611" t="s">
        <v>521</v>
      </c>
      <c r="C611" t="s">
        <v>1</v>
      </c>
      <c r="D611" t="s">
        <v>0</v>
      </c>
      <c r="E611">
        <v>242</v>
      </c>
      <c r="F611" t="s">
        <v>475</v>
      </c>
      <c r="G611" t="s">
        <v>476</v>
      </c>
      <c r="H611" s="3">
        <v>0</v>
      </c>
      <c r="I611" s="3">
        <v>0</v>
      </c>
      <c r="J611" s="3">
        <v>0</v>
      </c>
      <c r="K611" s="3">
        <v>56.26</v>
      </c>
      <c r="L611" s="3">
        <v>0</v>
      </c>
      <c r="M611" s="3">
        <v>0</v>
      </c>
      <c r="N611" s="3">
        <v>0</v>
      </c>
      <c r="O611" s="3">
        <v>7.3137999999999996</v>
      </c>
      <c r="P611" s="3">
        <v>63.573799999999999</v>
      </c>
      <c r="Q611">
        <v>3</v>
      </c>
    </row>
    <row r="612" spans="1:17" x14ac:dyDescent="0.25">
      <c r="A612" t="s">
        <v>516</v>
      </c>
      <c r="B612" t="s">
        <v>535</v>
      </c>
      <c r="C612" t="s">
        <v>1</v>
      </c>
      <c r="D612" t="s">
        <v>0</v>
      </c>
      <c r="E612">
        <v>284</v>
      </c>
      <c r="F612" t="s">
        <v>475</v>
      </c>
      <c r="G612" t="s">
        <v>476</v>
      </c>
      <c r="H612" s="3">
        <v>0</v>
      </c>
      <c r="I612" s="3">
        <v>0</v>
      </c>
      <c r="J612" s="3">
        <v>0</v>
      </c>
      <c r="K612" s="3">
        <v>56.26</v>
      </c>
      <c r="L612" s="3">
        <v>0</v>
      </c>
      <c r="M612" s="3">
        <v>0</v>
      </c>
      <c r="N612" s="3">
        <v>0</v>
      </c>
      <c r="O612" s="3">
        <v>7.3137999999999996</v>
      </c>
      <c r="P612" s="3">
        <v>63.573799999999999</v>
      </c>
      <c r="Q612">
        <v>3</v>
      </c>
    </row>
    <row r="613" spans="1:17" x14ac:dyDescent="0.25">
      <c r="A613" t="s">
        <v>516</v>
      </c>
      <c r="B613" t="s">
        <v>529</v>
      </c>
      <c r="C613" t="s">
        <v>1</v>
      </c>
      <c r="D613" t="s">
        <v>0</v>
      </c>
      <c r="E613">
        <v>446</v>
      </c>
      <c r="F613" t="s">
        <v>475</v>
      </c>
      <c r="G613" t="s">
        <v>476</v>
      </c>
      <c r="H613" s="3">
        <v>0</v>
      </c>
      <c r="I613" s="3">
        <v>0</v>
      </c>
      <c r="J613" s="3">
        <v>0</v>
      </c>
      <c r="K613" s="3">
        <v>28.08</v>
      </c>
      <c r="L613" s="3">
        <v>0</v>
      </c>
      <c r="M613" s="3">
        <v>0</v>
      </c>
      <c r="N613" s="3">
        <v>0</v>
      </c>
      <c r="O613" s="3">
        <v>3.6503999999999999</v>
      </c>
      <c r="P613" s="3">
        <v>31.730399999999999</v>
      </c>
      <c r="Q613">
        <v>3</v>
      </c>
    </row>
    <row r="614" spans="1:17" x14ac:dyDescent="0.25">
      <c r="A614" t="s">
        <v>516</v>
      </c>
      <c r="B614" t="s">
        <v>527</v>
      </c>
      <c r="C614" t="s">
        <v>1</v>
      </c>
      <c r="D614" t="s">
        <v>0</v>
      </c>
      <c r="E614">
        <v>366</v>
      </c>
      <c r="F614" t="s">
        <v>475</v>
      </c>
      <c r="G614" t="s">
        <v>476</v>
      </c>
      <c r="H614" s="3">
        <v>0</v>
      </c>
      <c r="I614" s="3">
        <v>0</v>
      </c>
      <c r="J614" s="3">
        <v>0</v>
      </c>
      <c r="K614" s="3">
        <v>28.08</v>
      </c>
      <c r="L614" s="3">
        <v>0</v>
      </c>
      <c r="M614" s="3">
        <v>0</v>
      </c>
      <c r="N614" s="3">
        <v>0</v>
      </c>
      <c r="O614" s="3">
        <v>3.6503999999999999</v>
      </c>
      <c r="P614" s="3">
        <v>31.730399999999999</v>
      </c>
      <c r="Q614">
        <v>3</v>
      </c>
    </row>
    <row r="615" spans="1:17" x14ac:dyDescent="0.25">
      <c r="A615" t="s">
        <v>516</v>
      </c>
      <c r="B615" t="s">
        <v>533</v>
      </c>
      <c r="C615" t="s">
        <v>1</v>
      </c>
      <c r="D615" t="s">
        <v>0</v>
      </c>
      <c r="E615">
        <v>404</v>
      </c>
      <c r="F615" t="s">
        <v>475</v>
      </c>
      <c r="G615" t="s">
        <v>476</v>
      </c>
      <c r="H615" s="3">
        <v>0</v>
      </c>
      <c r="I615" s="3">
        <v>0</v>
      </c>
      <c r="J615" s="3">
        <v>0</v>
      </c>
      <c r="K615" s="3">
        <v>56.26</v>
      </c>
      <c r="L615" s="3">
        <v>0</v>
      </c>
      <c r="M615" s="3">
        <v>0</v>
      </c>
      <c r="N615" s="3">
        <v>0</v>
      </c>
      <c r="O615" s="3">
        <v>7.3137999999999996</v>
      </c>
      <c r="P615" s="3">
        <v>63.573799999999999</v>
      </c>
      <c r="Q615">
        <v>3</v>
      </c>
    </row>
    <row r="616" spans="1:17" x14ac:dyDescent="0.25">
      <c r="A616" t="s">
        <v>516</v>
      </c>
      <c r="B616" t="s">
        <v>538</v>
      </c>
      <c r="C616" t="s">
        <v>1</v>
      </c>
      <c r="D616" t="s">
        <v>0</v>
      </c>
      <c r="E616">
        <v>230</v>
      </c>
      <c r="F616" t="s">
        <v>475</v>
      </c>
      <c r="G616" t="s">
        <v>476</v>
      </c>
      <c r="H616" s="3">
        <v>0</v>
      </c>
      <c r="I616" s="3">
        <v>0</v>
      </c>
      <c r="J616" s="3">
        <v>0</v>
      </c>
      <c r="K616" s="3">
        <v>28.08</v>
      </c>
      <c r="L616" s="3">
        <v>0</v>
      </c>
      <c r="M616" s="3">
        <v>0</v>
      </c>
      <c r="N616" s="3">
        <v>0</v>
      </c>
      <c r="O616" s="3">
        <v>3.6503999999999999</v>
      </c>
      <c r="P616" s="3">
        <v>31.730399999999999</v>
      </c>
      <c r="Q616">
        <v>3</v>
      </c>
    </row>
    <row r="617" spans="1:17" x14ac:dyDescent="0.25">
      <c r="A617" t="s">
        <v>516</v>
      </c>
      <c r="B617" t="s">
        <v>547</v>
      </c>
      <c r="C617" t="s">
        <v>1</v>
      </c>
      <c r="D617" t="s">
        <v>0</v>
      </c>
      <c r="E617">
        <v>423</v>
      </c>
      <c r="F617" t="s">
        <v>475</v>
      </c>
      <c r="G617" t="s">
        <v>476</v>
      </c>
      <c r="H617" s="3">
        <v>0</v>
      </c>
      <c r="I617" s="3">
        <v>0</v>
      </c>
      <c r="J617" s="3">
        <v>0</v>
      </c>
      <c r="K617" s="3">
        <v>56.26</v>
      </c>
      <c r="L617" s="3">
        <v>0</v>
      </c>
      <c r="M617" s="3">
        <v>0</v>
      </c>
      <c r="N617" s="3">
        <v>0</v>
      </c>
      <c r="O617" s="3">
        <v>7.3137999999999996</v>
      </c>
      <c r="P617" s="3">
        <v>63.573799999999999</v>
      </c>
      <c r="Q617">
        <v>3</v>
      </c>
    </row>
    <row r="618" spans="1:17" x14ac:dyDescent="0.25">
      <c r="A618" t="s">
        <v>516</v>
      </c>
      <c r="B618" t="s">
        <v>517</v>
      </c>
      <c r="C618" t="s">
        <v>1</v>
      </c>
      <c r="D618" t="s">
        <v>0</v>
      </c>
      <c r="E618">
        <v>376</v>
      </c>
      <c r="F618" t="s">
        <v>475</v>
      </c>
      <c r="G618" t="s">
        <v>476</v>
      </c>
      <c r="H618" s="3">
        <v>0</v>
      </c>
      <c r="I618" s="3">
        <v>0</v>
      </c>
      <c r="J618" s="3">
        <v>0</v>
      </c>
      <c r="K618" s="3">
        <v>56.26</v>
      </c>
      <c r="L618" s="3">
        <v>0</v>
      </c>
      <c r="M618" s="3">
        <v>0</v>
      </c>
      <c r="N618" s="3">
        <v>0</v>
      </c>
      <c r="O618" s="3">
        <v>7.3137999999999996</v>
      </c>
      <c r="P618" s="3">
        <v>63.573799999999999</v>
      </c>
      <c r="Q618">
        <v>3</v>
      </c>
    </row>
    <row r="619" spans="1:17" x14ac:dyDescent="0.25">
      <c r="A619" t="s">
        <v>516</v>
      </c>
      <c r="B619" t="s">
        <v>524</v>
      </c>
      <c r="C619" t="s">
        <v>1</v>
      </c>
      <c r="D619" t="s">
        <v>0</v>
      </c>
      <c r="E619">
        <v>308</v>
      </c>
      <c r="F619" t="s">
        <v>475</v>
      </c>
      <c r="G619" t="s">
        <v>476</v>
      </c>
      <c r="H619" s="3">
        <v>0</v>
      </c>
      <c r="I619" s="3">
        <v>0</v>
      </c>
      <c r="J619" s="3">
        <v>0</v>
      </c>
      <c r="K619" s="3">
        <v>56.26</v>
      </c>
      <c r="L619" s="3">
        <v>0</v>
      </c>
      <c r="M619" s="3">
        <v>0</v>
      </c>
      <c r="N619" s="3">
        <v>0</v>
      </c>
      <c r="O619" s="3">
        <v>7.3137999999999996</v>
      </c>
      <c r="P619" s="3">
        <v>63.573799999999999</v>
      </c>
      <c r="Q619">
        <v>3</v>
      </c>
    </row>
    <row r="620" spans="1:17" x14ac:dyDescent="0.25">
      <c r="A620" t="s">
        <v>516</v>
      </c>
      <c r="B620" t="s">
        <v>536</v>
      </c>
      <c r="C620" t="s">
        <v>1</v>
      </c>
      <c r="D620" t="s">
        <v>0</v>
      </c>
      <c r="E620">
        <v>260</v>
      </c>
      <c r="F620" t="s">
        <v>475</v>
      </c>
      <c r="G620" t="s">
        <v>476</v>
      </c>
      <c r="H620" s="3">
        <v>0</v>
      </c>
      <c r="I620" s="3">
        <v>0</v>
      </c>
      <c r="J620" s="3">
        <v>0</v>
      </c>
      <c r="K620" s="3">
        <v>56.26</v>
      </c>
      <c r="L620" s="3">
        <v>0</v>
      </c>
      <c r="M620" s="3">
        <v>0</v>
      </c>
      <c r="N620" s="3">
        <v>0</v>
      </c>
      <c r="O620" s="3">
        <v>7.3137999999999996</v>
      </c>
      <c r="P620" s="3">
        <v>63.573799999999999</v>
      </c>
      <c r="Q620">
        <v>3</v>
      </c>
    </row>
    <row r="621" spans="1:17" x14ac:dyDescent="0.25">
      <c r="A621" t="s">
        <v>516</v>
      </c>
      <c r="B621" t="s">
        <v>554</v>
      </c>
      <c r="C621" t="s">
        <v>1</v>
      </c>
      <c r="D621" t="s">
        <v>0</v>
      </c>
      <c r="E621">
        <v>470</v>
      </c>
      <c r="F621" t="s">
        <v>475</v>
      </c>
      <c r="G621" t="s">
        <v>476</v>
      </c>
      <c r="H621" s="3">
        <v>0</v>
      </c>
      <c r="I621" s="3">
        <v>0</v>
      </c>
      <c r="J621" s="3">
        <v>0</v>
      </c>
      <c r="K621" s="3">
        <v>45.2</v>
      </c>
      <c r="L621" s="3">
        <v>0</v>
      </c>
      <c r="M621" s="3">
        <v>0</v>
      </c>
      <c r="N621" s="3">
        <v>0</v>
      </c>
      <c r="O621" s="3">
        <v>5.8760000000000003</v>
      </c>
      <c r="P621" s="3">
        <v>51.076000000000001</v>
      </c>
      <c r="Q621">
        <v>3</v>
      </c>
    </row>
    <row r="622" spans="1:17" x14ac:dyDescent="0.25">
      <c r="A622" t="s">
        <v>516</v>
      </c>
      <c r="B622" t="s">
        <v>554</v>
      </c>
      <c r="C622" t="s">
        <v>1</v>
      </c>
      <c r="D622" t="s">
        <v>0</v>
      </c>
      <c r="E622">
        <v>466</v>
      </c>
      <c r="F622" t="s">
        <v>475</v>
      </c>
      <c r="G622" t="s">
        <v>476</v>
      </c>
      <c r="H622" s="3">
        <v>0</v>
      </c>
      <c r="I622" s="3">
        <v>0</v>
      </c>
      <c r="J622" s="3">
        <v>0</v>
      </c>
      <c r="K622" s="3">
        <v>34.25</v>
      </c>
      <c r="L622" s="3">
        <v>0</v>
      </c>
      <c r="M622" s="3">
        <v>0</v>
      </c>
      <c r="N622" s="3">
        <v>0</v>
      </c>
      <c r="O622" s="3">
        <v>4.4525000000000006</v>
      </c>
      <c r="P622" s="3">
        <v>38.702500000000001</v>
      </c>
      <c r="Q622">
        <v>3</v>
      </c>
    </row>
    <row r="623" spans="1:17" x14ac:dyDescent="0.25">
      <c r="A623" t="s">
        <v>516</v>
      </c>
      <c r="B623" t="s">
        <v>529</v>
      </c>
      <c r="C623" t="s">
        <v>1</v>
      </c>
      <c r="D623" t="s">
        <v>0</v>
      </c>
      <c r="E623">
        <v>445</v>
      </c>
      <c r="F623" t="s">
        <v>475</v>
      </c>
      <c r="G623" t="s">
        <v>476</v>
      </c>
      <c r="H623" s="3">
        <v>0</v>
      </c>
      <c r="I623" s="3">
        <v>0</v>
      </c>
      <c r="J623" s="3">
        <v>0</v>
      </c>
      <c r="K623" s="3">
        <v>55.03</v>
      </c>
      <c r="L623" s="3">
        <v>0</v>
      </c>
      <c r="M623" s="3">
        <v>0</v>
      </c>
      <c r="N623" s="3">
        <v>0</v>
      </c>
      <c r="O623" s="3">
        <v>7.1539000000000001</v>
      </c>
      <c r="P623" s="3">
        <v>62.183900000000001</v>
      </c>
      <c r="Q623">
        <v>3</v>
      </c>
    </row>
    <row r="624" spans="1:17" x14ac:dyDescent="0.25">
      <c r="A624" t="s">
        <v>516</v>
      </c>
      <c r="B624" t="s">
        <v>529</v>
      </c>
      <c r="C624" t="s">
        <v>1</v>
      </c>
      <c r="D624" t="s">
        <v>0</v>
      </c>
      <c r="E624">
        <v>405</v>
      </c>
      <c r="F624" t="s">
        <v>475</v>
      </c>
      <c r="G624" t="s">
        <v>476</v>
      </c>
      <c r="H624" s="3">
        <v>0</v>
      </c>
      <c r="I624" s="3">
        <v>0</v>
      </c>
      <c r="J624" s="3">
        <v>0</v>
      </c>
      <c r="K624" s="3">
        <v>36.78</v>
      </c>
      <c r="L624" s="3">
        <v>0</v>
      </c>
      <c r="M624" s="3">
        <v>0</v>
      </c>
      <c r="N624" s="3">
        <v>0</v>
      </c>
      <c r="O624" s="3">
        <v>4.7814000000000005</v>
      </c>
      <c r="P624" s="3">
        <v>41.561399999999999</v>
      </c>
      <c r="Q624">
        <v>3</v>
      </c>
    </row>
    <row r="625" spans="1:17" x14ac:dyDescent="0.25">
      <c r="A625" t="s">
        <v>516</v>
      </c>
      <c r="B625" t="s">
        <v>528</v>
      </c>
      <c r="C625" t="s">
        <v>1</v>
      </c>
      <c r="D625" t="s">
        <v>0</v>
      </c>
      <c r="E625">
        <v>385</v>
      </c>
      <c r="F625" t="s">
        <v>475</v>
      </c>
      <c r="G625" t="s">
        <v>476</v>
      </c>
      <c r="H625" s="3">
        <v>0</v>
      </c>
      <c r="I625" s="3">
        <v>0</v>
      </c>
      <c r="J625" s="3">
        <v>0</v>
      </c>
      <c r="K625" s="3">
        <v>66.83</v>
      </c>
      <c r="L625" s="3">
        <v>0</v>
      </c>
      <c r="M625" s="3">
        <v>0</v>
      </c>
      <c r="N625" s="3">
        <v>0</v>
      </c>
      <c r="O625" s="3">
        <v>8.6879000000000008</v>
      </c>
      <c r="P625" s="3">
        <v>75.517899999999997</v>
      </c>
      <c r="Q625">
        <v>3</v>
      </c>
    </row>
    <row r="626" spans="1:17" x14ac:dyDescent="0.25">
      <c r="A626" t="s">
        <v>516</v>
      </c>
      <c r="B626" t="s">
        <v>525</v>
      </c>
      <c r="C626" t="s">
        <v>1</v>
      </c>
      <c r="D626" t="s">
        <v>0</v>
      </c>
      <c r="E626">
        <v>367</v>
      </c>
      <c r="F626" t="s">
        <v>475</v>
      </c>
      <c r="G626" t="s">
        <v>476</v>
      </c>
      <c r="H626" s="3">
        <v>0</v>
      </c>
      <c r="I626" s="3">
        <v>0</v>
      </c>
      <c r="J626" s="3">
        <v>0</v>
      </c>
      <c r="K626" s="3">
        <v>38.75</v>
      </c>
      <c r="L626" s="3">
        <v>0</v>
      </c>
      <c r="M626" s="3">
        <v>0</v>
      </c>
      <c r="N626" s="3">
        <v>0</v>
      </c>
      <c r="O626" s="3">
        <v>5.0375000000000005</v>
      </c>
      <c r="P626" s="3">
        <v>43.787500000000001</v>
      </c>
      <c r="Q626">
        <v>3</v>
      </c>
    </row>
    <row r="627" spans="1:17" x14ac:dyDescent="0.25">
      <c r="A627" t="s">
        <v>516</v>
      </c>
      <c r="B627" t="s">
        <v>525</v>
      </c>
      <c r="C627" t="s">
        <v>1</v>
      </c>
      <c r="D627" t="s">
        <v>0</v>
      </c>
      <c r="E627">
        <v>337</v>
      </c>
      <c r="F627" t="s">
        <v>475</v>
      </c>
      <c r="G627" t="s">
        <v>476</v>
      </c>
      <c r="H627" s="3">
        <v>0</v>
      </c>
      <c r="I627" s="3">
        <v>0</v>
      </c>
      <c r="J627" s="3">
        <v>0</v>
      </c>
      <c r="K627" s="3">
        <v>28.08</v>
      </c>
      <c r="L627" s="3">
        <v>0</v>
      </c>
      <c r="M627" s="3">
        <v>0</v>
      </c>
      <c r="N627" s="3">
        <v>0</v>
      </c>
      <c r="O627" s="3">
        <v>3.6503999999999999</v>
      </c>
      <c r="P627" s="3">
        <v>31.730399999999999</v>
      </c>
      <c r="Q627">
        <v>3</v>
      </c>
    </row>
    <row r="628" spans="1:17" x14ac:dyDescent="0.25">
      <c r="A628" t="s">
        <v>516</v>
      </c>
      <c r="B628" t="s">
        <v>543</v>
      </c>
      <c r="C628" t="s">
        <v>1</v>
      </c>
      <c r="D628" t="s">
        <v>0</v>
      </c>
      <c r="E628">
        <v>322</v>
      </c>
      <c r="F628" t="s">
        <v>475</v>
      </c>
      <c r="G628" t="s">
        <v>476</v>
      </c>
      <c r="H628" s="3">
        <v>0</v>
      </c>
      <c r="I628" s="3">
        <v>0</v>
      </c>
      <c r="J628" s="3">
        <v>0</v>
      </c>
      <c r="K628" s="3">
        <v>59.81</v>
      </c>
      <c r="L628" s="3">
        <v>0</v>
      </c>
      <c r="M628" s="3">
        <v>0</v>
      </c>
      <c r="N628" s="3">
        <v>0</v>
      </c>
      <c r="O628" s="3">
        <v>7.7753000000000005</v>
      </c>
      <c r="P628" s="3">
        <v>67.585300000000004</v>
      </c>
      <c r="Q628">
        <v>3</v>
      </c>
    </row>
    <row r="629" spans="1:17" x14ac:dyDescent="0.25">
      <c r="A629" t="s">
        <v>516</v>
      </c>
      <c r="B629" t="s">
        <v>534</v>
      </c>
      <c r="C629" t="s">
        <v>1</v>
      </c>
      <c r="D629" t="s">
        <v>0</v>
      </c>
      <c r="E629">
        <v>300</v>
      </c>
      <c r="F629" t="s">
        <v>475</v>
      </c>
      <c r="G629" t="s">
        <v>476</v>
      </c>
      <c r="H629" s="3">
        <v>0</v>
      </c>
      <c r="I629" s="3">
        <v>0</v>
      </c>
      <c r="J629" s="3">
        <v>0</v>
      </c>
      <c r="K629" s="3">
        <v>40.71</v>
      </c>
      <c r="L629" s="3">
        <v>0</v>
      </c>
      <c r="M629" s="3">
        <v>0</v>
      </c>
      <c r="N629" s="3">
        <v>0</v>
      </c>
      <c r="O629" s="3">
        <v>5.2923</v>
      </c>
      <c r="P629" s="3">
        <v>46.002299999999998</v>
      </c>
      <c r="Q629">
        <v>3</v>
      </c>
    </row>
    <row r="630" spans="1:17" x14ac:dyDescent="0.25">
      <c r="A630" t="s">
        <v>516</v>
      </c>
      <c r="B630" t="s">
        <v>535</v>
      </c>
      <c r="C630" t="s">
        <v>1</v>
      </c>
      <c r="D630" t="s">
        <v>0</v>
      </c>
      <c r="E630">
        <v>283</v>
      </c>
      <c r="F630" t="s">
        <v>475</v>
      </c>
      <c r="G630" t="s">
        <v>476</v>
      </c>
      <c r="H630" s="3">
        <v>0</v>
      </c>
      <c r="I630" s="3">
        <v>0</v>
      </c>
      <c r="J630" s="3">
        <v>0</v>
      </c>
      <c r="K630" s="3">
        <v>50.82</v>
      </c>
      <c r="L630" s="3">
        <v>0</v>
      </c>
      <c r="M630" s="3">
        <v>0</v>
      </c>
      <c r="N630" s="3">
        <v>0</v>
      </c>
      <c r="O630" s="3">
        <v>6.6066000000000003</v>
      </c>
      <c r="P630" s="3">
        <v>57.426600000000001</v>
      </c>
      <c r="Q630">
        <v>3</v>
      </c>
    </row>
    <row r="631" spans="1:17" x14ac:dyDescent="0.25">
      <c r="A631" t="s">
        <v>516</v>
      </c>
      <c r="B631" t="s">
        <v>520</v>
      </c>
      <c r="C631" t="s">
        <v>1</v>
      </c>
      <c r="D631" t="s">
        <v>0</v>
      </c>
      <c r="E631">
        <v>271</v>
      </c>
      <c r="F631" t="s">
        <v>475</v>
      </c>
      <c r="G631" t="s">
        <v>476</v>
      </c>
      <c r="H631" s="3">
        <v>0</v>
      </c>
      <c r="I631" s="3">
        <v>0</v>
      </c>
      <c r="J631" s="3">
        <v>0</v>
      </c>
      <c r="K631" s="3">
        <v>60.37</v>
      </c>
      <c r="L631" s="3">
        <v>0</v>
      </c>
      <c r="M631" s="3">
        <v>0</v>
      </c>
      <c r="N631" s="3">
        <v>0</v>
      </c>
      <c r="O631" s="3">
        <v>7.8480999999999996</v>
      </c>
      <c r="P631" s="3">
        <v>68.218099999999993</v>
      </c>
      <c r="Q631">
        <v>3</v>
      </c>
    </row>
    <row r="632" spans="1:17" x14ac:dyDescent="0.25">
      <c r="A632" t="s">
        <v>516</v>
      </c>
      <c r="B632" t="s">
        <v>537</v>
      </c>
      <c r="C632" t="s">
        <v>1</v>
      </c>
      <c r="D632" t="s">
        <v>0</v>
      </c>
      <c r="E632">
        <v>247</v>
      </c>
      <c r="F632" t="s">
        <v>475</v>
      </c>
      <c r="G632" t="s">
        <v>476</v>
      </c>
      <c r="H632" s="3">
        <v>0</v>
      </c>
      <c r="I632" s="3">
        <v>0</v>
      </c>
      <c r="J632" s="3">
        <v>0</v>
      </c>
      <c r="K632" s="3">
        <v>48.29</v>
      </c>
      <c r="L632" s="3">
        <v>0</v>
      </c>
      <c r="M632" s="3">
        <v>0</v>
      </c>
      <c r="N632" s="3">
        <v>0</v>
      </c>
      <c r="O632" s="3">
        <v>6.2777000000000003</v>
      </c>
      <c r="P632" s="3">
        <v>54.567700000000002</v>
      </c>
      <c r="Q632">
        <v>3</v>
      </c>
    </row>
    <row r="633" spans="1:17" x14ac:dyDescent="0.25">
      <c r="A633" t="s">
        <v>516</v>
      </c>
      <c r="B633" t="s">
        <v>538</v>
      </c>
      <c r="C633" t="s">
        <v>1</v>
      </c>
      <c r="D633" t="s">
        <v>0</v>
      </c>
      <c r="E633">
        <v>231</v>
      </c>
      <c r="F633" t="s">
        <v>475</v>
      </c>
      <c r="G633" t="s">
        <v>476</v>
      </c>
      <c r="H633" s="3">
        <v>0</v>
      </c>
      <c r="I633" s="3">
        <v>0</v>
      </c>
      <c r="J633" s="3">
        <v>0</v>
      </c>
      <c r="K633" s="3">
        <v>43.24</v>
      </c>
      <c r="L633" s="3">
        <v>0</v>
      </c>
      <c r="M633" s="3">
        <v>0</v>
      </c>
      <c r="N633" s="3">
        <v>0</v>
      </c>
      <c r="O633" s="3">
        <v>5.6212000000000009</v>
      </c>
      <c r="P633" s="3">
        <v>48.861200000000004</v>
      </c>
      <c r="Q633">
        <v>3</v>
      </c>
    </row>
    <row r="634" spans="1:17" x14ac:dyDescent="0.25">
      <c r="A634" t="s">
        <v>516</v>
      </c>
      <c r="B634" t="s">
        <v>531</v>
      </c>
      <c r="C634" t="s">
        <v>1</v>
      </c>
      <c r="D634" t="s">
        <v>0</v>
      </c>
      <c r="E634">
        <v>434</v>
      </c>
      <c r="F634" t="s">
        <v>475</v>
      </c>
      <c r="G634" t="s">
        <v>476</v>
      </c>
      <c r="H634" s="3">
        <v>0</v>
      </c>
      <c r="I634" s="3">
        <v>0</v>
      </c>
      <c r="J634" s="3">
        <v>0</v>
      </c>
      <c r="K634" s="3">
        <v>48.57</v>
      </c>
      <c r="L634" s="3">
        <v>0</v>
      </c>
      <c r="M634" s="3">
        <v>0</v>
      </c>
      <c r="N634" s="3">
        <v>0</v>
      </c>
      <c r="O634" s="3">
        <v>6.3140999999999998</v>
      </c>
      <c r="P634" s="3">
        <v>54.884100000000004</v>
      </c>
      <c r="Q634">
        <v>3</v>
      </c>
    </row>
    <row r="635" spans="1:17" x14ac:dyDescent="0.25">
      <c r="A635" t="s">
        <v>516</v>
      </c>
      <c r="B635" t="s">
        <v>532</v>
      </c>
      <c r="C635" t="s">
        <v>1</v>
      </c>
      <c r="D635" t="s">
        <v>0</v>
      </c>
      <c r="E635">
        <v>416</v>
      </c>
      <c r="F635" t="s">
        <v>475</v>
      </c>
      <c r="G635" t="s">
        <v>476</v>
      </c>
      <c r="H635" s="3">
        <v>0</v>
      </c>
      <c r="I635" s="3">
        <v>0</v>
      </c>
      <c r="J635" s="3">
        <v>0</v>
      </c>
      <c r="K635" s="3">
        <v>36.78</v>
      </c>
      <c r="L635" s="3">
        <v>0</v>
      </c>
      <c r="M635" s="3">
        <v>0</v>
      </c>
      <c r="N635" s="3">
        <v>0</v>
      </c>
      <c r="O635" s="3">
        <v>4.7814000000000005</v>
      </c>
      <c r="P635" s="3">
        <v>41.561399999999999</v>
      </c>
      <c r="Q635">
        <v>3</v>
      </c>
    </row>
    <row r="636" spans="1:17" x14ac:dyDescent="0.25">
      <c r="A636" t="s">
        <v>516</v>
      </c>
      <c r="B636" t="s">
        <v>528</v>
      </c>
      <c r="C636" t="s">
        <v>1</v>
      </c>
      <c r="D636" t="s">
        <v>0</v>
      </c>
      <c r="E636">
        <v>382</v>
      </c>
      <c r="F636" t="s">
        <v>475</v>
      </c>
      <c r="G636" t="s">
        <v>476</v>
      </c>
      <c r="H636" s="3">
        <v>0</v>
      </c>
      <c r="I636" s="3">
        <v>0</v>
      </c>
      <c r="J636" s="3">
        <v>0</v>
      </c>
      <c r="K636" s="3">
        <v>45.2</v>
      </c>
      <c r="L636" s="3">
        <v>0</v>
      </c>
      <c r="M636" s="3">
        <v>0</v>
      </c>
      <c r="N636" s="3">
        <v>0</v>
      </c>
      <c r="O636" s="3">
        <v>5.8760000000000003</v>
      </c>
      <c r="P636" s="3">
        <v>51.076000000000001</v>
      </c>
      <c r="Q636">
        <v>3</v>
      </c>
    </row>
    <row r="637" spans="1:17" x14ac:dyDescent="0.25">
      <c r="A637" t="s">
        <v>516</v>
      </c>
      <c r="B637" t="s">
        <v>526</v>
      </c>
      <c r="C637" t="s">
        <v>1</v>
      </c>
      <c r="D637" t="s">
        <v>0</v>
      </c>
      <c r="E637">
        <v>343</v>
      </c>
      <c r="F637" t="s">
        <v>475</v>
      </c>
      <c r="G637" t="s">
        <v>476</v>
      </c>
      <c r="H637" s="3">
        <v>0</v>
      </c>
      <c r="I637" s="3">
        <v>0</v>
      </c>
      <c r="J637" s="3">
        <v>0</v>
      </c>
      <c r="K637" s="3">
        <v>35.1</v>
      </c>
      <c r="L637" s="3">
        <v>0</v>
      </c>
      <c r="M637" s="3">
        <v>0</v>
      </c>
      <c r="N637" s="3">
        <v>0</v>
      </c>
      <c r="O637" s="3">
        <v>4.5630000000000006</v>
      </c>
      <c r="P637" s="3">
        <v>39.663000000000004</v>
      </c>
      <c r="Q637">
        <v>3</v>
      </c>
    </row>
    <row r="638" spans="1:17" x14ac:dyDescent="0.25">
      <c r="A638" t="s">
        <v>516</v>
      </c>
      <c r="B638" t="s">
        <v>543</v>
      </c>
      <c r="C638" t="s">
        <v>1</v>
      </c>
      <c r="D638" t="s">
        <v>0</v>
      </c>
      <c r="E638">
        <v>310</v>
      </c>
      <c r="F638" t="s">
        <v>475</v>
      </c>
      <c r="G638" t="s">
        <v>476</v>
      </c>
      <c r="H638" s="3">
        <v>0</v>
      </c>
      <c r="I638" s="3">
        <v>0</v>
      </c>
      <c r="J638" s="3">
        <v>0</v>
      </c>
      <c r="K638" s="3">
        <v>45.48</v>
      </c>
      <c r="L638" s="3">
        <v>0</v>
      </c>
      <c r="M638" s="3">
        <v>0</v>
      </c>
      <c r="N638" s="3">
        <v>0</v>
      </c>
      <c r="O638" s="3">
        <v>5.9123999999999999</v>
      </c>
      <c r="P638" s="3">
        <v>51.392399999999995</v>
      </c>
      <c r="Q638">
        <v>3</v>
      </c>
    </row>
    <row r="639" spans="1:17" x14ac:dyDescent="0.25">
      <c r="A639" t="s">
        <v>516</v>
      </c>
      <c r="B639" t="s">
        <v>535</v>
      </c>
      <c r="C639" t="s">
        <v>1</v>
      </c>
      <c r="D639" t="s">
        <v>0</v>
      </c>
      <c r="E639">
        <v>287</v>
      </c>
      <c r="F639" t="s">
        <v>475</v>
      </c>
      <c r="G639" t="s">
        <v>476</v>
      </c>
      <c r="H639" s="3">
        <v>0</v>
      </c>
      <c r="I639" s="3">
        <v>0</v>
      </c>
      <c r="J639" s="3">
        <v>0</v>
      </c>
      <c r="K639" s="3">
        <v>50.54</v>
      </c>
      <c r="L639" s="3">
        <v>0</v>
      </c>
      <c r="M639" s="3">
        <v>0</v>
      </c>
      <c r="N639" s="3">
        <v>0</v>
      </c>
      <c r="O639" s="3">
        <v>6.5701999999999998</v>
      </c>
      <c r="P639" s="3">
        <v>57.110199999999999</v>
      </c>
      <c r="Q639">
        <v>3</v>
      </c>
    </row>
    <row r="640" spans="1:17" x14ac:dyDescent="0.25">
      <c r="A640" t="s">
        <v>516</v>
      </c>
      <c r="B640" t="s">
        <v>541</v>
      </c>
      <c r="C640" t="s">
        <v>1</v>
      </c>
      <c r="D640" t="s">
        <v>0</v>
      </c>
      <c r="E640">
        <v>267</v>
      </c>
      <c r="F640" t="s">
        <v>475</v>
      </c>
      <c r="G640" t="s">
        <v>476</v>
      </c>
      <c r="H640" s="3">
        <v>0</v>
      </c>
      <c r="I640" s="3">
        <v>0</v>
      </c>
      <c r="J640" s="3">
        <v>0</v>
      </c>
      <c r="K640" s="3">
        <v>46.05</v>
      </c>
      <c r="L640" s="3">
        <v>0</v>
      </c>
      <c r="M640" s="3">
        <v>0</v>
      </c>
      <c r="N640" s="3">
        <v>0</v>
      </c>
      <c r="O640" s="3">
        <v>5.9864999999999995</v>
      </c>
      <c r="P640" s="3">
        <v>52.036499999999997</v>
      </c>
      <c r="Q640">
        <v>3</v>
      </c>
    </row>
    <row r="641" spans="1:17" x14ac:dyDescent="0.25">
      <c r="A641" t="s">
        <v>516</v>
      </c>
      <c r="B641" t="s">
        <v>539</v>
      </c>
      <c r="C641" t="s">
        <v>1</v>
      </c>
      <c r="D641" t="s">
        <v>0</v>
      </c>
      <c r="E641">
        <v>239</v>
      </c>
      <c r="F641" t="s">
        <v>475</v>
      </c>
      <c r="G641" t="s">
        <v>476</v>
      </c>
      <c r="H641" s="3">
        <v>0</v>
      </c>
      <c r="I641" s="3">
        <v>0</v>
      </c>
      <c r="J641" s="3">
        <v>0</v>
      </c>
      <c r="K641" s="3">
        <v>39.869999999999997</v>
      </c>
      <c r="L641" s="3">
        <v>0</v>
      </c>
      <c r="M641" s="3">
        <v>0</v>
      </c>
      <c r="N641" s="3">
        <v>0</v>
      </c>
      <c r="O641" s="3">
        <v>5.1830999999999996</v>
      </c>
      <c r="P641" s="3">
        <v>45.053100000000001</v>
      </c>
      <c r="Q641">
        <v>3</v>
      </c>
    </row>
    <row r="642" spans="1:17" x14ac:dyDescent="0.25">
      <c r="A642" t="s">
        <v>516</v>
      </c>
      <c r="B642" t="s">
        <v>537</v>
      </c>
      <c r="C642" t="s">
        <v>1</v>
      </c>
      <c r="D642" t="s">
        <v>0</v>
      </c>
      <c r="E642">
        <v>135</v>
      </c>
      <c r="F642" t="s">
        <v>479</v>
      </c>
      <c r="G642" t="s">
        <v>480</v>
      </c>
      <c r="H642" s="3">
        <v>0</v>
      </c>
      <c r="I642" s="3">
        <v>0</v>
      </c>
      <c r="J642" s="3">
        <v>0</v>
      </c>
      <c r="K642" s="3">
        <v>169.02</v>
      </c>
      <c r="L642" s="3">
        <v>0</v>
      </c>
      <c r="M642" s="3">
        <v>0</v>
      </c>
      <c r="N642" s="3">
        <v>0</v>
      </c>
      <c r="O642" s="3">
        <v>21.972600000000003</v>
      </c>
      <c r="P642" s="3">
        <v>190.99260000000001</v>
      </c>
      <c r="Q642">
        <v>3</v>
      </c>
    </row>
    <row r="643" spans="1:17" x14ac:dyDescent="0.25">
      <c r="A643" t="s">
        <v>516</v>
      </c>
      <c r="B643" t="s">
        <v>520</v>
      </c>
      <c r="C643" t="s">
        <v>1</v>
      </c>
      <c r="D643" t="s">
        <v>0</v>
      </c>
      <c r="E643">
        <v>115301</v>
      </c>
      <c r="F643" t="s">
        <v>491</v>
      </c>
      <c r="G643" t="s">
        <v>492</v>
      </c>
      <c r="H643" s="3">
        <v>0</v>
      </c>
      <c r="I643" s="3">
        <v>0</v>
      </c>
      <c r="J643" s="3">
        <v>0</v>
      </c>
      <c r="K643" s="3">
        <v>149.49</v>
      </c>
      <c r="L643" s="3">
        <v>0</v>
      </c>
      <c r="M643" s="3">
        <v>0</v>
      </c>
      <c r="N643" s="3">
        <v>0</v>
      </c>
      <c r="O643" s="3">
        <v>19.433700000000002</v>
      </c>
      <c r="P643" s="3">
        <v>168.9237</v>
      </c>
      <c r="Q643">
        <v>3</v>
      </c>
    </row>
    <row r="644" spans="1:17" x14ac:dyDescent="0.25">
      <c r="A644" t="s">
        <v>516</v>
      </c>
      <c r="B644" t="s">
        <v>106</v>
      </c>
      <c r="C644" t="s">
        <v>1</v>
      </c>
      <c r="D644" t="s">
        <v>0</v>
      </c>
      <c r="E644">
        <v>6278</v>
      </c>
      <c r="F644" t="s">
        <v>571</v>
      </c>
      <c r="G644" t="s">
        <v>572</v>
      </c>
      <c r="H644" s="3">
        <v>0</v>
      </c>
      <c r="I644" s="3">
        <v>0</v>
      </c>
      <c r="J644" s="3">
        <v>0</v>
      </c>
      <c r="K644" s="3">
        <v>269.02999999999997</v>
      </c>
      <c r="L644" s="3">
        <v>0</v>
      </c>
      <c r="M644" s="3">
        <v>0</v>
      </c>
      <c r="N644" s="3">
        <v>0</v>
      </c>
      <c r="O644" s="3">
        <v>34.9739</v>
      </c>
      <c r="P644" s="3">
        <v>304.00389999999999</v>
      </c>
      <c r="Q644">
        <v>3</v>
      </c>
    </row>
    <row r="645" spans="1:17" x14ac:dyDescent="0.25">
      <c r="A645" t="s">
        <v>516</v>
      </c>
      <c r="B645" t="s">
        <v>528</v>
      </c>
      <c r="C645" t="s">
        <v>1</v>
      </c>
      <c r="D645" t="s">
        <v>0</v>
      </c>
      <c r="E645">
        <v>134</v>
      </c>
      <c r="F645" t="s">
        <v>565</v>
      </c>
      <c r="G645" t="s">
        <v>566</v>
      </c>
      <c r="H645" s="3">
        <v>0</v>
      </c>
      <c r="I645" s="3">
        <v>0</v>
      </c>
      <c r="J645" s="3">
        <v>0</v>
      </c>
      <c r="K645" s="3">
        <v>75</v>
      </c>
      <c r="L645" s="3">
        <v>0</v>
      </c>
      <c r="M645" s="3">
        <v>0</v>
      </c>
      <c r="N645" s="3">
        <v>0</v>
      </c>
      <c r="O645" s="3">
        <v>9.75</v>
      </c>
      <c r="P645" s="3">
        <v>84.75</v>
      </c>
      <c r="Q645">
        <v>3</v>
      </c>
    </row>
    <row r="646" spans="1:17" x14ac:dyDescent="0.25">
      <c r="A646" t="s">
        <v>516</v>
      </c>
      <c r="B646" t="s">
        <v>531</v>
      </c>
      <c r="C646" t="s">
        <v>1</v>
      </c>
      <c r="D646" t="s">
        <v>0</v>
      </c>
      <c r="E646">
        <v>215866</v>
      </c>
      <c r="F646" t="s">
        <v>563</v>
      </c>
      <c r="G646" t="s">
        <v>564</v>
      </c>
      <c r="H646" s="3">
        <v>0</v>
      </c>
      <c r="I646" s="3">
        <v>0</v>
      </c>
      <c r="J646" s="3">
        <v>0</v>
      </c>
      <c r="K646" s="3">
        <v>14.76</v>
      </c>
      <c r="L646" s="3">
        <v>0</v>
      </c>
      <c r="M646" s="3">
        <v>0</v>
      </c>
      <c r="N646" s="3">
        <v>0</v>
      </c>
      <c r="O646" s="3">
        <v>1.9188000000000001</v>
      </c>
      <c r="P646" s="3">
        <v>16.678799999999999</v>
      </c>
      <c r="Q646">
        <v>3</v>
      </c>
    </row>
    <row r="647" spans="1:17" x14ac:dyDescent="0.25">
      <c r="A647" t="s">
        <v>516</v>
      </c>
      <c r="B647" t="s">
        <v>545</v>
      </c>
      <c r="C647" t="s">
        <v>1</v>
      </c>
      <c r="D647" t="s">
        <v>0</v>
      </c>
      <c r="E647">
        <v>2447</v>
      </c>
      <c r="F647" t="s">
        <v>561</v>
      </c>
      <c r="G647" t="s">
        <v>562</v>
      </c>
      <c r="H647" s="3">
        <v>0</v>
      </c>
      <c r="I647" s="3">
        <v>0</v>
      </c>
      <c r="J647" s="3">
        <v>0</v>
      </c>
      <c r="K647" s="3">
        <v>4.42</v>
      </c>
      <c r="L647" s="3">
        <v>0</v>
      </c>
      <c r="M647" s="3">
        <v>0</v>
      </c>
      <c r="N647" s="3">
        <v>0</v>
      </c>
      <c r="O647" s="3">
        <v>0.5746</v>
      </c>
      <c r="P647" s="3">
        <v>4.9946000000000002</v>
      </c>
      <c r="Q647">
        <v>3</v>
      </c>
    </row>
    <row r="648" spans="1:17" x14ac:dyDescent="0.25">
      <c r="A648" t="s">
        <v>516</v>
      </c>
      <c r="B648" t="s">
        <v>547</v>
      </c>
      <c r="C648" t="s">
        <v>1</v>
      </c>
      <c r="D648" t="s">
        <v>0</v>
      </c>
      <c r="E648">
        <v>1605</v>
      </c>
      <c r="F648" t="s">
        <v>559</v>
      </c>
      <c r="G648" t="s">
        <v>560</v>
      </c>
      <c r="H648" s="3">
        <v>0</v>
      </c>
      <c r="I648" s="3">
        <v>0</v>
      </c>
      <c r="J648" s="3">
        <v>0</v>
      </c>
      <c r="K648" s="3">
        <v>4.42</v>
      </c>
      <c r="L648" s="3">
        <v>0</v>
      </c>
      <c r="M648" s="3">
        <v>0</v>
      </c>
      <c r="N648" s="3">
        <v>0</v>
      </c>
      <c r="O648" s="3">
        <v>0.5746</v>
      </c>
      <c r="P648" s="3">
        <v>4.9946000000000002</v>
      </c>
      <c r="Q648">
        <v>3</v>
      </c>
    </row>
    <row r="649" spans="1:17" x14ac:dyDescent="0.25">
      <c r="A649" t="s">
        <v>516</v>
      </c>
      <c r="B649" t="s">
        <v>537</v>
      </c>
      <c r="C649" t="s">
        <v>1</v>
      </c>
      <c r="D649" t="s">
        <v>0</v>
      </c>
      <c r="E649">
        <v>161098</v>
      </c>
      <c r="F649" t="s">
        <v>425</v>
      </c>
      <c r="G649" t="s">
        <v>426</v>
      </c>
      <c r="H649" s="3">
        <v>0</v>
      </c>
      <c r="I649" s="3">
        <v>0</v>
      </c>
      <c r="J649" s="3">
        <v>0</v>
      </c>
      <c r="K649" s="3">
        <v>4.91</v>
      </c>
      <c r="L649" s="3">
        <v>0</v>
      </c>
      <c r="M649" s="3">
        <v>0</v>
      </c>
      <c r="N649" s="3">
        <v>0</v>
      </c>
      <c r="O649" s="3">
        <v>0.63830000000000009</v>
      </c>
      <c r="P649" s="3">
        <v>5.5483000000000002</v>
      </c>
      <c r="Q649">
        <v>3</v>
      </c>
    </row>
    <row r="650" spans="1:17" x14ac:dyDescent="0.25">
      <c r="A650" t="s">
        <v>516</v>
      </c>
      <c r="B650" t="s">
        <v>126</v>
      </c>
      <c r="C650" t="s">
        <v>1</v>
      </c>
      <c r="D650" t="s">
        <v>0</v>
      </c>
      <c r="E650">
        <v>3150604</v>
      </c>
      <c r="F650" t="s">
        <v>557</v>
      </c>
      <c r="G650" t="s">
        <v>558</v>
      </c>
      <c r="H650" s="3">
        <v>0</v>
      </c>
      <c r="I650" s="3">
        <v>0</v>
      </c>
      <c r="J650" s="3">
        <v>0</v>
      </c>
      <c r="K650" s="3">
        <v>26.16</v>
      </c>
      <c r="L650" s="3">
        <v>0</v>
      </c>
      <c r="M650" s="3">
        <v>0</v>
      </c>
      <c r="N650" s="3">
        <v>0</v>
      </c>
      <c r="O650" s="3">
        <v>3.4008000000000003</v>
      </c>
      <c r="P650" s="3">
        <v>29.5608</v>
      </c>
      <c r="Q650">
        <v>3</v>
      </c>
    </row>
    <row r="651" spans="1:17" x14ac:dyDescent="0.25">
      <c r="A651" t="s">
        <v>516</v>
      </c>
      <c r="B651" t="s">
        <v>539</v>
      </c>
      <c r="C651" t="s">
        <v>1</v>
      </c>
      <c r="D651" t="s">
        <v>0</v>
      </c>
      <c r="E651">
        <v>3745433</v>
      </c>
      <c r="F651" t="s">
        <v>557</v>
      </c>
      <c r="G651" t="s">
        <v>558</v>
      </c>
      <c r="H651" s="3">
        <v>0</v>
      </c>
      <c r="I651" s="3">
        <v>0</v>
      </c>
      <c r="J651" s="3">
        <v>0</v>
      </c>
      <c r="K651" s="3">
        <v>28.49</v>
      </c>
      <c r="L651" s="3">
        <v>0</v>
      </c>
      <c r="M651" s="3">
        <v>0</v>
      </c>
      <c r="N651" s="3">
        <v>0</v>
      </c>
      <c r="O651" s="3">
        <v>3.7037</v>
      </c>
      <c r="P651" s="3">
        <v>32.1937</v>
      </c>
      <c r="Q651">
        <v>3</v>
      </c>
    </row>
    <row r="652" spans="1:17" x14ac:dyDescent="0.25">
      <c r="A652" t="s">
        <v>516</v>
      </c>
      <c r="B652" t="s">
        <v>99</v>
      </c>
      <c r="C652" t="s">
        <v>1</v>
      </c>
      <c r="D652" t="s">
        <v>0</v>
      </c>
      <c r="E652">
        <v>3653346</v>
      </c>
      <c r="F652" t="s">
        <v>433</v>
      </c>
      <c r="G652" t="s">
        <v>434</v>
      </c>
      <c r="H652" s="3">
        <v>0</v>
      </c>
      <c r="I652" s="3">
        <v>0</v>
      </c>
      <c r="J652" s="3">
        <v>0</v>
      </c>
      <c r="K652" s="3">
        <v>75.63</v>
      </c>
      <c r="L652" s="3">
        <v>0</v>
      </c>
      <c r="M652" s="3">
        <v>0</v>
      </c>
      <c r="N652" s="3">
        <v>0</v>
      </c>
      <c r="O652" s="3">
        <v>9.8318999999999992</v>
      </c>
      <c r="P652" s="3">
        <v>85.4619</v>
      </c>
      <c r="Q652">
        <v>3</v>
      </c>
    </row>
    <row r="653" spans="1:17" x14ac:dyDescent="0.25">
      <c r="A653" t="s">
        <v>516</v>
      </c>
      <c r="B653" t="s">
        <v>531</v>
      </c>
      <c r="C653" t="s">
        <v>1</v>
      </c>
      <c r="D653" t="s">
        <v>0</v>
      </c>
      <c r="E653">
        <v>51</v>
      </c>
      <c r="F653" t="s">
        <v>555</v>
      </c>
      <c r="G653" t="s">
        <v>556</v>
      </c>
      <c r="H653" s="3">
        <v>0</v>
      </c>
      <c r="I653" s="3">
        <v>0</v>
      </c>
      <c r="J653" s="3">
        <v>0</v>
      </c>
      <c r="K653" s="3">
        <v>20</v>
      </c>
      <c r="L653" s="3">
        <v>0</v>
      </c>
      <c r="M653" s="3">
        <v>0</v>
      </c>
      <c r="N653" s="3">
        <v>0</v>
      </c>
      <c r="O653" s="3">
        <v>2.6</v>
      </c>
      <c r="P653" s="3">
        <v>22.6</v>
      </c>
      <c r="Q653">
        <v>3</v>
      </c>
    </row>
    <row r="654" spans="1:17" x14ac:dyDescent="0.25">
      <c r="A654" t="s">
        <v>516</v>
      </c>
      <c r="B654" t="s">
        <v>525</v>
      </c>
      <c r="C654" t="s">
        <v>1</v>
      </c>
      <c r="D654" t="s">
        <v>0</v>
      </c>
      <c r="E654">
        <v>1556302</v>
      </c>
      <c r="F654" t="s">
        <v>264</v>
      </c>
      <c r="G654" t="s">
        <v>549</v>
      </c>
      <c r="H654" s="3">
        <v>0</v>
      </c>
      <c r="I654" s="3">
        <v>0</v>
      </c>
      <c r="J654" s="3">
        <v>0</v>
      </c>
      <c r="K654" s="3">
        <v>3.6</v>
      </c>
      <c r="L654" s="3">
        <v>0</v>
      </c>
      <c r="M654" s="3">
        <v>0</v>
      </c>
      <c r="N654" s="3">
        <v>0</v>
      </c>
      <c r="O654" s="3">
        <v>0.46800000000000003</v>
      </c>
      <c r="P654" s="3">
        <v>4.0680000000000005</v>
      </c>
      <c r="Q654">
        <v>3</v>
      </c>
    </row>
    <row r="655" spans="1:17" x14ac:dyDescent="0.25">
      <c r="A655" t="s">
        <v>516</v>
      </c>
      <c r="B655" t="s">
        <v>531</v>
      </c>
      <c r="C655" t="s">
        <v>1</v>
      </c>
      <c r="D655" t="s">
        <v>0</v>
      </c>
      <c r="E655">
        <v>23615</v>
      </c>
      <c r="F655" t="s">
        <v>469</v>
      </c>
      <c r="G655" t="s">
        <v>470</v>
      </c>
      <c r="H655" s="3">
        <v>0</v>
      </c>
      <c r="I655" s="3">
        <v>0</v>
      </c>
      <c r="J655" s="3">
        <v>0</v>
      </c>
      <c r="K655" s="3">
        <v>32</v>
      </c>
      <c r="L655" s="3">
        <v>0</v>
      </c>
      <c r="M655" s="3">
        <v>0</v>
      </c>
      <c r="N655" s="3">
        <v>0</v>
      </c>
      <c r="O655" s="3">
        <v>4.16</v>
      </c>
      <c r="P655" s="3">
        <v>36.159999999999997</v>
      </c>
      <c r="Q655">
        <v>3</v>
      </c>
    </row>
    <row r="656" spans="1:17" x14ac:dyDescent="0.25">
      <c r="A656" t="s">
        <v>516</v>
      </c>
      <c r="B656" t="s">
        <v>521</v>
      </c>
      <c r="C656" t="s">
        <v>1</v>
      </c>
      <c r="D656" t="s">
        <v>0</v>
      </c>
      <c r="E656">
        <v>635972</v>
      </c>
      <c r="F656" t="s">
        <v>113</v>
      </c>
      <c r="G656" t="s">
        <v>114</v>
      </c>
      <c r="H656" s="3">
        <v>0</v>
      </c>
      <c r="I656" s="3">
        <v>0</v>
      </c>
      <c r="J656" s="3">
        <v>0</v>
      </c>
      <c r="K656" s="3">
        <v>2.16</v>
      </c>
      <c r="L656" s="3">
        <v>0</v>
      </c>
      <c r="M656" s="3">
        <v>0</v>
      </c>
      <c r="N656" s="3">
        <v>0</v>
      </c>
      <c r="O656" s="3">
        <v>0.28080000000000005</v>
      </c>
      <c r="P656" s="3">
        <v>2.4408000000000003</v>
      </c>
      <c r="Q656">
        <v>3</v>
      </c>
    </row>
    <row r="657" spans="1:17" x14ac:dyDescent="0.25">
      <c r="A657" t="s">
        <v>516</v>
      </c>
      <c r="B657" t="s">
        <v>534</v>
      </c>
      <c r="C657" t="s">
        <v>1</v>
      </c>
      <c r="D657" t="s">
        <v>0</v>
      </c>
      <c r="E657">
        <v>551930</v>
      </c>
      <c r="F657" t="s">
        <v>113</v>
      </c>
      <c r="G657" t="s">
        <v>114</v>
      </c>
      <c r="H657" s="3">
        <v>0</v>
      </c>
      <c r="I657" s="3">
        <v>0</v>
      </c>
      <c r="J657" s="3">
        <v>0</v>
      </c>
      <c r="K657" s="3">
        <v>2.2799999999999998</v>
      </c>
      <c r="L657" s="3">
        <v>0</v>
      </c>
      <c r="M657" s="3">
        <v>0</v>
      </c>
      <c r="N657" s="3">
        <v>0</v>
      </c>
      <c r="O657" s="3">
        <v>0.2964</v>
      </c>
      <c r="P657" s="3">
        <v>2.5763999999999996</v>
      </c>
      <c r="Q657">
        <v>3</v>
      </c>
    </row>
    <row r="658" spans="1:17" x14ac:dyDescent="0.25">
      <c r="A658" t="s">
        <v>516</v>
      </c>
      <c r="B658" t="s">
        <v>545</v>
      </c>
      <c r="C658" t="s">
        <v>1</v>
      </c>
      <c r="D658" t="s">
        <v>0</v>
      </c>
      <c r="E658">
        <v>1332</v>
      </c>
      <c r="F658" t="s">
        <v>552</v>
      </c>
      <c r="G658" t="s">
        <v>553</v>
      </c>
      <c r="H658" s="3">
        <v>0</v>
      </c>
      <c r="I658" s="3">
        <v>0</v>
      </c>
      <c r="J658" s="3">
        <v>0</v>
      </c>
      <c r="K658" s="3">
        <v>26.55</v>
      </c>
      <c r="L658" s="3">
        <v>0</v>
      </c>
      <c r="M658" s="3">
        <v>0</v>
      </c>
      <c r="N658" s="3">
        <v>0</v>
      </c>
      <c r="O658" s="3">
        <v>3.4515000000000002</v>
      </c>
      <c r="P658" s="3">
        <v>30.0015</v>
      </c>
      <c r="Q658">
        <v>3</v>
      </c>
    </row>
    <row r="659" spans="1:17" x14ac:dyDescent="0.25">
      <c r="A659" t="s">
        <v>516</v>
      </c>
      <c r="B659" t="s">
        <v>554</v>
      </c>
      <c r="C659" t="s">
        <v>1</v>
      </c>
      <c r="D659" t="s">
        <v>0</v>
      </c>
      <c r="E659">
        <v>76891</v>
      </c>
      <c r="F659" t="s">
        <v>473</v>
      </c>
      <c r="G659" t="s">
        <v>474</v>
      </c>
      <c r="H659" s="3">
        <v>0</v>
      </c>
      <c r="I659" s="3">
        <v>0</v>
      </c>
      <c r="J659" s="3">
        <v>0</v>
      </c>
      <c r="K659" s="3">
        <v>100.03</v>
      </c>
      <c r="L659" s="3">
        <v>0</v>
      </c>
      <c r="M659" s="3">
        <v>0</v>
      </c>
      <c r="N659" s="3">
        <v>0</v>
      </c>
      <c r="O659" s="3">
        <v>13.0039</v>
      </c>
      <c r="P659" s="3">
        <v>113.0339</v>
      </c>
      <c r="Q659">
        <v>3</v>
      </c>
    </row>
    <row r="660" spans="1:17" x14ac:dyDescent="0.25">
      <c r="A660" t="s">
        <v>516</v>
      </c>
      <c r="B660" t="s">
        <v>538</v>
      </c>
      <c r="C660" t="s">
        <v>1</v>
      </c>
      <c r="D660" t="s">
        <v>0</v>
      </c>
      <c r="E660">
        <v>76537</v>
      </c>
      <c r="F660" t="s">
        <v>473</v>
      </c>
      <c r="G660" t="s">
        <v>474</v>
      </c>
      <c r="H660" s="3">
        <v>0</v>
      </c>
      <c r="I660" s="3">
        <v>0</v>
      </c>
      <c r="J660" s="3">
        <v>0</v>
      </c>
      <c r="K660" s="3">
        <v>50.43</v>
      </c>
      <c r="L660" s="3">
        <v>0</v>
      </c>
      <c r="M660" s="3">
        <v>0</v>
      </c>
      <c r="N660" s="3">
        <v>0</v>
      </c>
      <c r="O660" s="3">
        <v>6.5559000000000003</v>
      </c>
      <c r="P660" s="3">
        <v>56.985900000000001</v>
      </c>
      <c r="Q660">
        <v>3</v>
      </c>
    </row>
    <row r="661" spans="1:17" x14ac:dyDescent="0.25">
      <c r="A661" t="s">
        <v>516</v>
      </c>
      <c r="B661" t="s">
        <v>533</v>
      </c>
      <c r="C661" t="s">
        <v>1</v>
      </c>
      <c r="D661" t="s">
        <v>0</v>
      </c>
      <c r="E661">
        <v>113767</v>
      </c>
      <c r="F661" t="s">
        <v>459</v>
      </c>
      <c r="G661" t="s">
        <v>460</v>
      </c>
      <c r="H661" s="3">
        <v>2.93</v>
      </c>
      <c r="I661" s="3">
        <v>0</v>
      </c>
      <c r="J661" s="3">
        <v>0</v>
      </c>
      <c r="K661" s="3">
        <v>29.17</v>
      </c>
      <c r="L661" s="3">
        <v>0</v>
      </c>
      <c r="M661" s="3">
        <v>0</v>
      </c>
      <c r="N661" s="3">
        <v>0</v>
      </c>
      <c r="O661" s="3">
        <v>3.7921000000000005</v>
      </c>
      <c r="P661" s="3">
        <v>35.892099999999999</v>
      </c>
      <c r="Q661">
        <v>3</v>
      </c>
    </row>
    <row r="662" spans="1:17" x14ac:dyDescent="0.25">
      <c r="A662" t="s">
        <v>516</v>
      </c>
      <c r="B662" t="s">
        <v>528</v>
      </c>
      <c r="C662" t="s">
        <v>1</v>
      </c>
      <c r="D662" t="s">
        <v>0</v>
      </c>
      <c r="E662">
        <v>1316</v>
      </c>
      <c r="F662" t="s">
        <v>552</v>
      </c>
      <c r="G662" t="s">
        <v>553</v>
      </c>
      <c r="H662" s="3">
        <v>0</v>
      </c>
      <c r="I662" s="3">
        <v>0</v>
      </c>
      <c r="J662" s="3">
        <v>0</v>
      </c>
      <c r="K662" s="3">
        <v>26.55</v>
      </c>
      <c r="L662" s="3">
        <v>0</v>
      </c>
      <c r="M662" s="3">
        <v>0</v>
      </c>
      <c r="N662" s="3">
        <v>0</v>
      </c>
      <c r="O662" s="3">
        <v>3.4515000000000002</v>
      </c>
      <c r="P662" s="3">
        <v>30.0015</v>
      </c>
      <c r="Q662">
        <v>3</v>
      </c>
    </row>
    <row r="663" spans="1:17" x14ac:dyDescent="0.25">
      <c r="A663" t="s">
        <v>516</v>
      </c>
      <c r="B663" t="s">
        <v>543</v>
      </c>
      <c r="C663" t="s">
        <v>1</v>
      </c>
      <c r="D663" t="s">
        <v>0</v>
      </c>
      <c r="E663">
        <v>5259</v>
      </c>
      <c r="F663" t="s">
        <v>550</v>
      </c>
      <c r="G663" t="s">
        <v>551</v>
      </c>
      <c r="H663" s="3">
        <v>0</v>
      </c>
      <c r="I663" s="3">
        <v>0</v>
      </c>
      <c r="J663" s="3">
        <v>0</v>
      </c>
      <c r="K663" s="3">
        <v>19.03</v>
      </c>
      <c r="L663" s="3">
        <v>0</v>
      </c>
      <c r="M663" s="3">
        <v>0</v>
      </c>
      <c r="N663" s="3">
        <v>0</v>
      </c>
      <c r="O663" s="3">
        <v>2.4739000000000004</v>
      </c>
      <c r="P663" s="3">
        <v>21.503900000000002</v>
      </c>
      <c r="Q663">
        <v>3</v>
      </c>
    </row>
    <row r="664" spans="1:17" x14ac:dyDescent="0.25">
      <c r="A664" t="s">
        <v>516</v>
      </c>
      <c r="B664" t="s">
        <v>524</v>
      </c>
      <c r="C664" t="s">
        <v>1</v>
      </c>
      <c r="D664" t="s">
        <v>0</v>
      </c>
      <c r="E664">
        <v>994888</v>
      </c>
      <c r="F664" t="s">
        <v>264</v>
      </c>
      <c r="G664" t="s">
        <v>549</v>
      </c>
      <c r="H664" s="3">
        <v>0</v>
      </c>
      <c r="I664" s="3">
        <v>0</v>
      </c>
      <c r="J664" s="3">
        <v>0</v>
      </c>
      <c r="K664" s="3">
        <v>8.76</v>
      </c>
      <c r="L664" s="3">
        <v>0</v>
      </c>
      <c r="M664" s="3">
        <v>0</v>
      </c>
      <c r="N664" s="3">
        <v>0</v>
      </c>
      <c r="O664" s="3">
        <v>1.1388</v>
      </c>
      <c r="P664" s="3">
        <v>9.8987999999999996</v>
      </c>
      <c r="Q664">
        <v>3</v>
      </c>
    </row>
    <row r="665" spans="1:17" x14ac:dyDescent="0.25">
      <c r="A665" t="s">
        <v>516</v>
      </c>
      <c r="B665" t="s">
        <v>534</v>
      </c>
      <c r="C665" t="s">
        <v>1</v>
      </c>
      <c r="D665" t="s">
        <v>0</v>
      </c>
      <c r="E665">
        <v>13078</v>
      </c>
      <c r="F665" t="s">
        <v>453</v>
      </c>
      <c r="G665" t="s">
        <v>454</v>
      </c>
      <c r="H665" s="3">
        <v>0</v>
      </c>
      <c r="I665" s="3">
        <v>0</v>
      </c>
      <c r="J665" s="3">
        <v>0</v>
      </c>
      <c r="K665" s="3">
        <v>4.5</v>
      </c>
      <c r="L665" s="3">
        <v>0</v>
      </c>
      <c r="M665" s="3">
        <v>0</v>
      </c>
      <c r="N665" s="3">
        <v>0</v>
      </c>
      <c r="O665" s="3">
        <v>0.58499999999999996</v>
      </c>
      <c r="P665" s="3">
        <v>5.085</v>
      </c>
      <c r="Q665">
        <v>3</v>
      </c>
    </row>
    <row r="666" spans="1:17" x14ac:dyDescent="0.25">
      <c r="A666" t="s">
        <v>516</v>
      </c>
      <c r="B666" t="s">
        <v>521</v>
      </c>
      <c r="C666" t="s">
        <v>1</v>
      </c>
      <c r="D666" t="s">
        <v>0</v>
      </c>
      <c r="E666">
        <v>12985</v>
      </c>
      <c r="F666" t="s">
        <v>453</v>
      </c>
      <c r="G666" t="s">
        <v>454</v>
      </c>
      <c r="H666" s="3">
        <v>0</v>
      </c>
      <c r="I666" s="3">
        <v>0</v>
      </c>
      <c r="J666" s="3">
        <v>0</v>
      </c>
      <c r="K666" s="3">
        <v>13.5</v>
      </c>
      <c r="L666" s="3">
        <v>0</v>
      </c>
      <c r="M666" s="3">
        <v>0</v>
      </c>
      <c r="N666" s="3">
        <v>0</v>
      </c>
      <c r="O666" s="3">
        <v>1.7550000000000001</v>
      </c>
      <c r="P666" s="3">
        <v>15.255000000000001</v>
      </c>
      <c r="Q666">
        <v>3</v>
      </c>
    </row>
    <row r="667" spans="1:17" x14ac:dyDescent="0.25">
      <c r="A667" t="s">
        <v>516</v>
      </c>
      <c r="B667" t="s">
        <v>536</v>
      </c>
      <c r="C667" t="s">
        <v>1</v>
      </c>
      <c r="D667" t="s">
        <v>0</v>
      </c>
      <c r="E667">
        <v>556</v>
      </c>
      <c r="F667" t="s">
        <v>487</v>
      </c>
      <c r="G667" t="s">
        <v>488</v>
      </c>
      <c r="H667" s="3">
        <v>0</v>
      </c>
      <c r="I667" s="3">
        <v>0</v>
      </c>
      <c r="J667" s="3">
        <v>0</v>
      </c>
      <c r="K667" s="3">
        <v>51.77</v>
      </c>
      <c r="L667" s="3">
        <v>0</v>
      </c>
      <c r="M667" s="3">
        <v>0</v>
      </c>
      <c r="N667" s="3">
        <v>0</v>
      </c>
      <c r="O667" s="3">
        <v>6.7301000000000002</v>
      </c>
      <c r="P667" s="3">
        <v>58.500100000000003</v>
      </c>
      <c r="Q667">
        <v>3</v>
      </c>
    </row>
    <row r="668" spans="1:17" x14ac:dyDescent="0.25">
      <c r="A668" t="s">
        <v>516</v>
      </c>
      <c r="B668" t="s">
        <v>539</v>
      </c>
      <c r="C668" t="s">
        <v>1</v>
      </c>
      <c r="D668" t="s">
        <v>0</v>
      </c>
      <c r="E668">
        <v>83324</v>
      </c>
      <c r="F668" t="s">
        <v>459</v>
      </c>
      <c r="G668" t="s">
        <v>460</v>
      </c>
      <c r="H668" s="3">
        <v>2.52</v>
      </c>
      <c r="I668" s="3">
        <v>0</v>
      </c>
      <c r="J668" s="3">
        <v>0</v>
      </c>
      <c r="K668" s="3">
        <v>24.65</v>
      </c>
      <c r="L668" s="3">
        <v>0</v>
      </c>
      <c r="M668" s="3">
        <v>0</v>
      </c>
      <c r="N668" s="3">
        <v>0</v>
      </c>
      <c r="O668" s="3">
        <v>3.2044999999999999</v>
      </c>
      <c r="P668" s="3">
        <v>30.374499999999998</v>
      </c>
      <c r="Q668">
        <v>3</v>
      </c>
    </row>
    <row r="669" spans="1:17" x14ac:dyDescent="0.25">
      <c r="A669" t="s">
        <v>516</v>
      </c>
      <c r="B669" t="s">
        <v>539</v>
      </c>
      <c r="C669" t="s">
        <v>1</v>
      </c>
      <c r="D669" t="s">
        <v>0</v>
      </c>
      <c r="E669">
        <v>12719</v>
      </c>
      <c r="F669" t="s">
        <v>453</v>
      </c>
      <c r="G669" t="s">
        <v>454</v>
      </c>
      <c r="H669" s="3">
        <v>0</v>
      </c>
      <c r="I669" s="3">
        <v>0</v>
      </c>
      <c r="J669" s="3">
        <v>0</v>
      </c>
      <c r="K669" s="3">
        <v>32.4</v>
      </c>
      <c r="L669" s="3">
        <v>0</v>
      </c>
      <c r="M669" s="3">
        <v>0</v>
      </c>
      <c r="N669" s="3">
        <v>0</v>
      </c>
      <c r="O669" s="3">
        <v>4.2119999999999997</v>
      </c>
      <c r="P669" s="3">
        <v>36.611999999999995</v>
      </c>
      <c r="Q669">
        <v>3</v>
      </c>
    </row>
    <row r="670" spans="1:17" x14ac:dyDescent="0.25">
      <c r="A670" t="s">
        <v>516</v>
      </c>
      <c r="B670" t="s">
        <v>535</v>
      </c>
      <c r="C670" t="s">
        <v>1</v>
      </c>
      <c r="D670" t="s">
        <v>0</v>
      </c>
      <c r="E670">
        <v>84563</v>
      </c>
      <c r="F670" t="s">
        <v>459</v>
      </c>
      <c r="G670" t="s">
        <v>460</v>
      </c>
      <c r="H670" s="3">
        <v>2.96</v>
      </c>
      <c r="I670" s="3">
        <v>0</v>
      </c>
      <c r="J670" s="3">
        <v>0</v>
      </c>
      <c r="K670" s="3">
        <v>29.24</v>
      </c>
      <c r="L670" s="3">
        <v>0</v>
      </c>
      <c r="M670" s="3">
        <v>0</v>
      </c>
      <c r="N670" s="3">
        <v>0</v>
      </c>
      <c r="O670" s="3">
        <v>3.8012000000000001</v>
      </c>
      <c r="P670" s="3">
        <v>36.001199999999997</v>
      </c>
      <c r="Q670">
        <v>3</v>
      </c>
    </row>
    <row r="671" spans="1:17" x14ac:dyDescent="0.25">
      <c r="A671" t="s">
        <v>516</v>
      </c>
      <c r="B671" t="s">
        <v>532</v>
      </c>
      <c r="C671" t="s">
        <v>1</v>
      </c>
      <c r="D671" t="s">
        <v>0</v>
      </c>
      <c r="E671">
        <v>3238</v>
      </c>
      <c r="F671" t="s">
        <v>465</v>
      </c>
      <c r="G671" t="s">
        <v>466</v>
      </c>
      <c r="H671" s="3">
        <v>0</v>
      </c>
      <c r="I671" s="3">
        <v>0</v>
      </c>
      <c r="J671" s="3">
        <v>0</v>
      </c>
      <c r="K671" s="3">
        <v>22.12</v>
      </c>
      <c r="L671" s="3">
        <v>0</v>
      </c>
      <c r="M671" s="3">
        <v>0</v>
      </c>
      <c r="N671" s="3">
        <v>0</v>
      </c>
      <c r="O671" s="3">
        <v>2.8756000000000004</v>
      </c>
      <c r="P671" s="3">
        <v>24.995600000000003</v>
      </c>
      <c r="Q671">
        <v>3</v>
      </c>
    </row>
    <row r="672" spans="1:17" x14ac:dyDescent="0.25">
      <c r="A672" t="s">
        <v>516</v>
      </c>
      <c r="B672" t="s">
        <v>525</v>
      </c>
      <c r="C672" t="s">
        <v>1</v>
      </c>
      <c r="D672" t="s">
        <v>0</v>
      </c>
      <c r="E672">
        <v>6042731</v>
      </c>
      <c r="F672" t="s">
        <v>471</v>
      </c>
      <c r="G672" t="s">
        <v>472</v>
      </c>
      <c r="H672" s="3">
        <v>0</v>
      </c>
      <c r="I672" s="3">
        <v>0</v>
      </c>
      <c r="J672" s="3">
        <v>0</v>
      </c>
      <c r="K672" s="3">
        <v>88.49</v>
      </c>
      <c r="L672" s="3">
        <v>0</v>
      </c>
      <c r="M672" s="3">
        <v>0</v>
      </c>
      <c r="N672" s="3">
        <v>0</v>
      </c>
      <c r="O672" s="3">
        <v>11.5037</v>
      </c>
      <c r="P672" s="3">
        <v>99.99369999999999</v>
      </c>
      <c r="Q672">
        <v>3</v>
      </c>
    </row>
    <row r="673" spans="1:17" x14ac:dyDescent="0.25">
      <c r="A673" t="s">
        <v>516</v>
      </c>
      <c r="B673" t="s">
        <v>526</v>
      </c>
      <c r="C673" t="s">
        <v>1</v>
      </c>
      <c r="D673" t="s">
        <v>0</v>
      </c>
      <c r="E673">
        <v>140654</v>
      </c>
      <c r="F673" t="s">
        <v>191</v>
      </c>
      <c r="G673" t="s">
        <v>548</v>
      </c>
      <c r="H673" s="3">
        <v>2.9299999999999997</v>
      </c>
      <c r="I673" s="3">
        <v>0</v>
      </c>
      <c r="J673" s="3">
        <v>0</v>
      </c>
      <c r="K673" s="3">
        <v>28.71</v>
      </c>
      <c r="L673" s="3">
        <v>0</v>
      </c>
      <c r="M673" s="3">
        <v>0</v>
      </c>
      <c r="N673" s="3">
        <v>0</v>
      </c>
      <c r="O673" s="3">
        <v>3.7323000000000004</v>
      </c>
      <c r="P673" s="3">
        <v>35.372300000000003</v>
      </c>
      <c r="Q673">
        <v>3</v>
      </c>
    </row>
    <row r="674" spans="1:17" x14ac:dyDescent="0.25">
      <c r="A674" t="s">
        <v>516</v>
      </c>
      <c r="B674" t="s">
        <v>529</v>
      </c>
      <c r="C674" t="s">
        <v>1</v>
      </c>
      <c r="D674" t="s">
        <v>0</v>
      </c>
      <c r="E674">
        <v>46921</v>
      </c>
      <c r="F674" t="s">
        <v>418</v>
      </c>
      <c r="G674" t="s">
        <v>419</v>
      </c>
      <c r="H674" s="3">
        <v>5.79</v>
      </c>
      <c r="I674" s="3">
        <v>0</v>
      </c>
      <c r="J674" s="3">
        <v>0</v>
      </c>
      <c r="K674" s="3">
        <v>50.23</v>
      </c>
      <c r="L674" s="3">
        <v>0</v>
      </c>
      <c r="M674" s="3">
        <v>0</v>
      </c>
      <c r="N674" s="3">
        <v>0</v>
      </c>
      <c r="O674" s="3">
        <v>6.5298999999999996</v>
      </c>
      <c r="P674" s="3">
        <v>62.549899999999994</v>
      </c>
      <c r="Q674">
        <v>3</v>
      </c>
    </row>
    <row r="675" spans="1:17" x14ac:dyDescent="0.25">
      <c r="A675" t="s">
        <v>516</v>
      </c>
      <c r="B675" t="s">
        <v>531</v>
      </c>
      <c r="C675" t="s">
        <v>1</v>
      </c>
      <c r="D675" t="s">
        <v>0</v>
      </c>
      <c r="E675">
        <v>46881</v>
      </c>
      <c r="F675" t="s">
        <v>418</v>
      </c>
      <c r="G675" t="s">
        <v>419</v>
      </c>
      <c r="H675" s="3">
        <v>9.06</v>
      </c>
      <c r="I675" s="3">
        <v>0</v>
      </c>
      <c r="J675" s="3">
        <v>0</v>
      </c>
      <c r="K675" s="3">
        <v>78.66</v>
      </c>
      <c r="L675" s="3">
        <v>0</v>
      </c>
      <c r="M675" s="3">
        <v>0</v>
      </c>
      <c r="N675" s="3">
        <v>0</v>
      </c>
      <c r="O675" s="3">
        <v>10.2258</v>
      </c>
      <c r="P675" s="3">
        <v>97.945799999999991</v>
      </c>
      <c r="Q675">
        <v>3</v>
      </c>
    </row>
    <row r="676" spans="1:17" x14ac:dyDescent="0.25">
      <c r="A676" t="s">
        <v>516</v>
      </c>
      <c r="B676" t="s">
        <v>547</v>
      </c>
      <c r="C676" t="s">
        <v>1</v>
      </c>
      <c r="D676" t="s">
        <v>0</v>
      </c>
      <c r="E676">
        <v>46461</v>
      </c>
      <c r="F676" t="s">
        <v>418</v>
      </c>
      <c r="G676" t="s">
        <v>419</v>
      </c>
      <c r="H676" s="3">
        <v>9</v>
      </c>
      <c r="I676" s="3">
        <v>0</v>
      </c>
      <c r="J676" s="3">
        <v>0</v>
      </c>
      <c r="K676" s="3">
        <v>78.099999999999994</v>
      </c>
      <c r="L676" s="3">
        <v>0</v>
      </c>
      <c r="M676" s="3">
        <v>0</v>
      </c>
      <c r="N676" s="3">
        <v>0</v>
      </c>
      <c r="O676" s="3">
        <v>10.153</v>
      </c>
      <c r="P676" s="3">
        <v>97.253</v>
      </c>
      <c r="Q676">
        <v>3</v>
      </c>
    </row>
    <row r="677" spans="1:17" x14ac:dyDescent="0.25">
      <c r="A677" t="s">
        <v>516</v>
      </c>
      <c r="B677" t="s">
        <v>546</v>
      </c>
      <c r="C677" t="s">
        <v>1</v>
      </c>
      <c r="D677" t="s">
        <v>0</v>
      </c>
      <c r="E677">
        <v>46317</v>
      </c>
      <c r="F677" t="s">
        <v>418</v>
      </c>
      <c r="G677" t="s">
        <v>419</v>
      </c>
      <c r="H677" s="3">
        <v>11.11</v>
      </c>
      <c r="I677" s="3">
        <v>0</v>
      </c>
      <c r="J677" s="3">
        <v>0</v>
      </c>
      <c r="K677" s="3">
        <v>96.36</v>
      </c>
      <c r="L677" s="3">
        <v>0</v>
      </c>
      <c r="M677" s="3">
        <v>0</v>
      </c>
      <c r="N677" s="3">
        <v>0</v>
      </c>
      <c r="O677" s="3">
        <v>12.5268</v>
      </c>
      <c r="P677" s="3">
        <v>119.99679999999999</v>
      </c>
      <c r="Q677">
        <v>3</v>
      </c>
    </row>
    <row r="678" spans="1:17" x14ac:dyDescent="0.25">
      <c r="A678" t="s">
        <v>516</v>
      </c>
      <c r="B678" t="s">
        <v>545</v>
      </c>
      <c r="C678" t="s">
        <v>1</v>
      </c>
      <c r="D678" t="s">
        <v>0</v>
      </c>
      <c r="E678">
        <v>45963</v>
      </c>
      <c r="F678" t="s">
        <v>418</v>
      </c>
      <c r="G678" t="s">
        <v>419</v>
      </c>
      <c r="H678" s="3">
        <v>10.219999999999999</v>
      </c>
      <c r="I678" s="3">
        <v>0</v>
      </c>
      <c r="J678" s="3">
        <v>0</v>
      </c>
      <c r="K678" s="3">
        <v>88.6</v>
      </c>
      <c r="L678" s="3">
        <v>0</v>
      </c>
      <c r="M678" s="3">
        <v>0</v>
      </c>
      <c r="N678" s="3">
        <v>0</v>
      </c>
      <c r="O678" s="3">
        <v>11.517999999999999</v>
      </c>
      <c r="P678" s="3">
        <v>110.33799999999999</v>
      </c>
      <c r="Q678">
        <v>3</v>
      </c>
    </row>
    <row r="679" spans="1:17" x14ac:dyDescent="0.25">
      <c r="A679" t="s">
        <v>516</v>
      </c>
      <c r="B679" t="s">
        <v>533</v>
      </c>
      <c r="C679" t="s">
        <v>1</v>
      </c>
      <c r="D679" t="s">
        <v>0</v>
      </c>
      <c r="E679">
        <v>45515</v>
      </c>
      <c r="F679" t="s">
        <v>418</v>
      </c>
      <c r="G679" t="s">
        <v>419</v>
      </c>
      <c r="H679" s="3">
        <v>8.34</v>
      </c>
      <c r="I679" s="3">
        <v>0</v>
      </c>
      <c r="J679" s="3">
        <v>0</v>
      </c>
      <c r="K679" s="3">
        <v>72.39</v>
      </c>
      <c r="L679" s="3">
        <v>0</v>
      </c>
      <c r="M679" s="3">
        <v>0</v>
      </c>
      <c r="N679" s="3">
        <v>0</v>
      </c>
      <c r="O679" s="3">
        <v>9.4107000000000003</v>
      </c>
      <c r="P679" s="3">
        <v>90.14070000000001</v>
      </c>
      <c r="Q679">
        <v>3</v>
      </c>
    </row>
    <row r="680" spans="1:17" x14ac:dyDescent="0.25">
      <c r="A680" t="s">
        <v>516</v>
      </c>
      <c r="B680" t="s">
        <v>544</v>
      </c>
      <c r="C680" t="s">
        <v>1</v>
      </c>
      <c r="D680" t="s">
        <v>0</v>
      </c>
      <c r="E680">
        <v>45415</v>
      </c>
      <c r="F680" t="s">
        <v>418</v>
      </c>
      <c r="G680" t="s">
        <v>419</v>
      </c>
      <c r="H680" s="3">
        <v>7.87</v>
      </c>
      <c r="I680" s="3">
        <v>0</v>
      </c>
      <c r="J680" s="3">
        <v>0</v>
      </c>
      <c r="K680" s="3">
        <v>68.260000000000005</v>
      </c>
      <c r="L680" s="3">
        <v>0</v>
      </c>
      <c r="M680" s="3">
        <v>0</v>
      </c>
      <c r="N680" s="3">
        <v>0</v>
      </c>
      <c r="O680" s="3">
        <v>8.873800000000001</v>
      </c>
      <c r="P680" s="3">
        <v>85.003800000000012</v>
      </c>
      <c r="Q680">
        <v>3</v>
      </c>
    </row>
    <row r="681" spans="1:17" x14ac:dyDescent="0.25">
      <c r="A681" t="s">
        <v>516</v>
      </c>
      <c r="B681" t="s">
        <v>528</v>
      </c>
      <c r="C681" t="s">
        <v>1</v>
      </c>
      <c r="D681" t="s">
        <v>0</v>
      </c>
      <c r="E681">
        <v>45039</v>
      </c>
      <c r="F681" t="s">
        <v>418</v>
      </c>
      <c r="G681" t="s">
        <v>419</v>
      </c>
      <c r="H681" s="3">
        <v>1.3</v>
      </c>
      <c r="I681" s="3">
        <v>0</v>
      </c>
      <c r="J681" s="3">
        <v>0</v>
      </c>
      <c r="K681" s="3">
        <v>11.24</v>
      </c>
      <c r="L681" s="3">
        <v>0</v>
      </c>
      <c r="M681" s="3">
        <v>0</v>
      </c>
      <c r="N681" s="3">
        <v>0</v>
      </c>
      <c r="O681" s="3">
        <v>1.4612000000000001</v>
      </c>
      <c r="P681" s="3">
        <v>14.001200000000001</v>
      </c>
      <c r="Q681">
        <v>3</v>
      </c>
    </row>
    <row r="682" spans="1:17" x14ac:dyDescent="0.25">
      <c r="A682" t="s">
        <v>516</v>
      </c>
      <c r="B682" t="s">
        <v>517</v>
      </c>
      <c r="C682" t="s">
        <v>1</v>
      </c>
      <c r="D682" t="s">
        <v>0</v>
      </c>
      <c r="E682">
        <v>44906</v>
      </c>
      <c r="F682" t="s">
        <v>418</v>
      </c>
      <c r="G682" t="s">
        <v>419</v>
      </c>
      <c r="H682" s="3">
        <v>12.299999999999999</v>
      </c>
      <c r="I682" s="3">
        <v>0</v>
      </c>
      <c r="J682" s="3">
        <v>0</v>
      </c>
      <c r="K682" s="3">
        <v>104.16</v>
      </c>
      <c r="L682" s="3">
        <v>0</v>
      </c>
      <c r="M682" s="3">
        <v>0</v>
      </c>
      <c r="N682" s="3">
        <v>0</v>
      </c>
      <c r="O682" s="3">
        <v>13.540800000000001</v>
      </c>
      <c r="P682" s="3">
        <v>130.0008</v>
      </c>
      <c r="Q682">
        <v>3</v>
      </c>
    </row>
    <row r="683" spans="1:17" x14ac:dyDescent="0.25">
      <c r="A683" t="s">
        <v>516</v>
      </c>
      <c r="B683" t="s">
        <v>517</v>
      </c>
      <c r="C683" t="s">
        <v>1</v>
      </c>
      <c r="D683" t="s">
        <v>0</v>
      </c>
      <c r="E683">
        <v>44904</v>
      </c>
      <c r="F683" t="s">
        <v>418</v>
      </c>
      <c r="G683" t="s">
        <v>419</v>
      </c>
      <c r="H683" s="3">
        <v>8.07</v>
      </c>
      <c r="I683" s="3">
        <v>0</v>
      </c>
      <c r="J683" s="3">
        <v>0</v>
      </c>
      <c r="K683" s="3">
        <v>68.349999999999994</v>
      </c>
      <c r="L683" s="3">
        <v>0</v>
      </c>
      <c r="M683" s="3">
        <v>0</v>
      </c>
      <c r="N683" s="3">
        <v>0</v>
      </c>
      <c r="O683" s="3">
        <v>8.8855000000000004</v>
      </c>
      <c r="P683" s="3">
        <v>85.305499999999995</v>
      </c>
      <c r="Q683">
        <v>3</v>
      </c>
    </row>
    <row r="684" spans="1:17" x14ac:dyDescent="0.25">
      <c r="A684" t="s">
        <v>516</v>
      </c>
      <c r="B684" t="s">
        <v>526</v>
      </c>
      <c r="C684" t="s">
        <v>1</v>
      </c>
      <c r="D684" t="s">
        <v>0</v>
      </c>
      <c r="E684">
        <v>44253</v>
      </c>
      <c r="F684" t="s">
        <v>418</v>
      </c>
      <c r="G684" t="s">
        <v>419</v>
      </c>
      <c r="H684" s="3">
        <v>9</v>
      </c>
      <c r="I684" s="3">
        <v>0</v>
      </c>
      <c r="J684" s="3">
        <v>0</v>
      </c>
      <c r="K684" s="3">
        <v>76.11</v>
      </c>
      <c r="L684" s="3">
        <v>0</v>
      </c>
      <c r="M684" s="3">
        <v>0</v>
      </c>
      <c r="N684" s="3">
        <v>0</v>
      </c>
      <c r="O684" s="3">
        <v>9.8942999999999994</v>
      </c>
      <c r="P684" s="3">
        <v>95.004300000000001</v>
      </c>
      <c r="Q684">
        <v>3</v>
      </c>
    </row>
    <row r="685" spans="1:17" x14ac:dyDescent="0.25">
      <c r="A685" t="s">
        <v>516</v>
      </c>
      <c r="B685" t="s">
        <v>525</v>
      </c>
      <c r="C685" t="s">
        <v>1</v>
      </c>
      <c r="D685" t="s">
        <v>0</v>
      </c>
      <c r="E685">
        <v>43878</v>
      </c>
      <c r="F685" t="s">
        <v>418</v>
      </c>
      <c r="G685" t="s">
        <v>419</v>
      </c>
      <c r="H685" s="3">
        <v>7.98</v>
      </c>
      <c r="I685" s="3">
        <v>0</v>
      </c>
      <c r="J685" s="3">
        <v>0</v>
      </c>
      <c r="K685" s="3">
        <v>67.61</v>
      </c>
      <c r="L685" s="3">
        <v>0</v>
      </c>
      <c r="M685" s="3">
        <v>0</v>
      </c>
      <c r="N685" s="3">
        <v>0</v>
      </c>
      <c r="O685" s="3">
        <v>8.7893000000000008</v>
      </c>
      <c r="P685" s="3">
        <v>84.379300000000001</v>
      </c>
      <c r="Q685">
        <v>3</v>
      </c>
    </row>
    <row r="686" spans="1:17" x14ac:dyDescent="0.25">
      <c r="A686" t="s">
        <v>516</v>
      </c>
      <c r="B686" t="s">
        <v>525</v>
      </c>
      <c r="C686" t="s">
        <v>1</v>
      </c>
      <c r="D686" t="s">
        <v>0</v>
      </c>
      <c r="E686">
        <v>43978</v>
      </c>
      <c r="F686" t="s">
        <v>418</v>
      </c>
      <c r="G686" t="s">
        <v>419</v>
      </c>
      <c r="H686" s="3">
        <v>9.93</v>
      </c>
      <c r="I686" s="3">
        <v>0</v>
      </c>
      <c r="J686" s="3">
        <v>0</v>
      </c>
      <c r="K686" s="3">
        <v>84.13</v>
      </c>
      <c r="L686" s="3">
        <v>0</v>
      </c>
      <c r="M686" s="3">
        <v>0</v>
      </c>
      <c r="N686" s="3">
        <v>0</v>
      </c>
      <c r="O686" s="3">
        <v>10.9369</v>
      </c>
      <c r="P686" s="3">
        <v>104.9969</v>
      </c>
      <c r="Q686">
        <v>3</v>
      </c>
    </row>
    <row r="687" spans="1:17" x14ac:dyDescent="0.25">
      <c r="A687" t="s">
        <v>516</v>
      </c>
      <c r="B687" t="s">
        <v>543</v>
      </c>
      <c r="C687" t="s">
        <v>1</v>
      </c>
      <c r="D687" t="s">
        <v>0</v>
      </c>
      <c r="E687">
        <v>43420</v>
      </c>
      <c r="F687" t="s">
        <v>418</v>
      </c>
      <c r="G687" t="s">
        <v>419</v>
      </c>
      <c r="H687" s="3">
        <v>1.8</v>
      </c>
      <c r="I687" s="3">
        <v>0</v>
      </c>
      <c r="J687" s="3">
        <v>0</v>
      </c>
      <c r="K687" s="3">
        <v>15.22</v>
      </c>
      <c r="L687" s="3">
        <v>0</v>
      </c>
      <c r="M687" s="3">
        <v>0</v>
      </c>
      <c r="N687" s="3">
        <v>0</v>
      </c>
      <c r="O687" s="3">
        <v>1.9786000000000001</v>
      </c>
      <c r="P687" s="3">
        <v>18.9986</v>
      </c>
      <c r="Q687">
        <v>3</v>
      </c>
    </row>
    <row r="688" spans="1:17" x14ac:dyDescent="0.25">
      <c r="A688" t="s">
        <v>516</v>
      </c>
      <c r="B688" t="s">
        <v>543</v>
      </c>
      <c r="C688" t="s">
        <v>1</v>
      </c>
      <c r="D688" t="s">
        <v>0</v>
      </c>
      <c r="E688">
        <v>43542</v>
      </c>
      <c r="F688" t="s">
        <v>418</v>
      </c>
      <c r="G688" t="s">
        <v>419</v>
      </c>
      <c r="H688" s="3">
        <v>11.36</v>
      </c>
      <c r="I688" s="3">
        <v>0</v>
      </c>
      <c r="J688" s="3">
        <v>0</v>
      </c>
      <c r="K688" s="3">
        <v>96.14</v>
      </c>
      <c r="L688" s="3">
        <v>0</v>
      </c>
      <c r="M688" s="3">
        <v>0</v>
      </c>
      <c r="N688" s="3">
        <v>0</v>
      </c>
      <c r="O688" s="3">
        <v>12.498200000000001</v>
      </c>
      <c r="P688" s="3">
        <v>119.9982</v>
      </c>
      <c r="Q688">
        <v>3</v>
      </c>
    </row>
    <row r="689" spans="1:17" x14ac:dyDescent="0.25">
      <c r="A689" t="s">
        <v>516</v>
      </c>
      <c r="B689" t="s">
        <v>524</v>
      </c>
      <c r="C689" t="s">
        <v>1</v>
      </c>
      <c r="D689" t="s">
        <v>0</v>
      </c>
      <c r="E689">
        <v>43096</v>
      </c>
      <c r="F689" t="s">
        <v>418</v>
      </c>
      <c r="G689" t="s">
        <v>419</v>
      </c>
      <c r="H689" s="3">
        <v>9.3000000000000007</v>
      </c>
      <c r="I689" s="3">
        <v>0</v>
      </c>
      <c r="J689" s="3">
        <v>0</v>
      </c>
      <c r="K689" s="3">
        <v>78.75</v>
      </c>
      <c r="L689" s="3">
        <v>0</v>
      </c>
      <c r="M689" s="3">
        <v>0</v>
      </c>
      <c r="N689" s="3">
        <v>0</v>
      </c>
      <c r="O689" s="3">
        <v>10.237500000000001</v>
      </c>
      <c r="P689" s="3">
        <v>98.287499999999994</v>
      </c>
      <c r="Q689">
        <v>3</v>
      </c>
    </row>
    <row r="690" spans="1:17" x14ac:dyDescent="0.25">
      <c r="A690" t="s">
        <v>516</v>
      </c>
      <c r="B690" t="s">
        <v>542</v>
      </c>
      <c r="C690" t="s">
        <v>1</v>
      </c>
      <c r="D690" t="s">
        <v>0</v>
      </c>
      <c r="E690">
        <v>42952</v>
      </c>
      <c r="F690" t="s">
        <v>418</v>
      </c>
      <c r="G690" t="s">
        <v>419</v>
      </c>
      <c r="H690" s="3">
        <v>11.17</v>
      </c>
      <c r="I690" s="3">
        <v>0</v>
      </c>
      <c r="J690" s="3">
        <v>0</v>
      </c>
      <c r="K690" s="3">
        <v>94.54</v>
      </c>
      <c r="L690" s="3">
        <v>0</v>
      </c>
      <c r="M690" s="3">
        <v>0</v>
      </c>
      <c r="N690" s="3">
        <v>0</v>
      </c>
      <c r="O690" s="3">
        <v>12.2902</v>
      </c>
      <c r="P690" s="3">
        <v>118.00020000000001</v>
      </c>
      <c r="Q690">
        <v>3</v>
      </c>
    </row>
    <row r="691" spans="1:17" x14ac:dyDescent="0.25">
      <c r="A691" t="s">
        <v>516</v>
      </c>
      <c r="B691" t="s">
        <v>521</v>
      </c>
      <c r="C691" t="s">
        <v>1</v>
      </c>
      <c r="D691" t="s">
        <v>0</v>
      </c>
      <c r="E691">
        <v>42451</v>
      </c>
      <c r="F691" t="s">
        <v>418</v>
      </c>
      <c r="G691" t="s">
        <v>419</v>
      </c>
      <c r="H691" s="3">
        <v>10.59</v>
      </c>
      <c r="I691" s="3">
        <v>0</v>
      </c>
      <c r="J691" s="3">
        <v>0</v>
      </c>
      <c r="K691" s="3">
        <v>89.63</v>
      </c>
      <c r="L691" s="3">
        <v>0</v>
      </c>
      <c r="M691" s="3">
        <v>0</v>
      </c>
      <c r="N691" s="3">
        <v>0</v>
      </c>
      <c r="O691" s="3">
        <v>11.651899999999999</v>
      </c>
      <c r="P691" s="3">
        <v>111.8719</v>
      </c>
      <c r="Q691">
        <v>3</v>
      </c>
    </row>
    <row r="692" spans="1:17" x14ac:dyDescent="0.25">
      <c r="A692" t="s">
        <v>516</v>
      </c>
      <c r="B692" t="s">
        <v>521</v>
      </c>
      <c r="C692" t="s">
        <v>1</v>
      </c>
      <c r="D692" t="s">
        <v>0</v>
      </c>
      <c r="E692">
        <v>42343</v>
      </c>
      <c r="F692" t="s">
        <v>418</v>
      </c>
      <c r="G692" t="s">
        <v>419</v>
      </c>
      <c r="H692" s="3">
        <v>1.98</v>
      </c>
      <c r="I692" s="3">
        <v>0</v>
      </c>
      <c r="J692" s="3">
        <v>0</v>
      </c>
      <c r="K692" s="3">
        <v>16.829999999999998</v>
      </c>
      <c r="L692" s="3">
        <v>0</v>
      </c>
      <c r="M692" s="3">
        <v>0</v>
      </c>
      <c r="N692" s="3">
        <v>0</v>
      </c>
      <c r="O692" s="3">
        <v>2.1879</v>
      </c>
      <c r="P692" s="3">
        <v>20.997899999999998</v>
      </c>
      <c r="Q692">
        <v>3</v>
      </c>
    </row>
    <row r="693" spans="1:17" x14ac:dyDescent="0.25">
      <c r="A693" t="s">
        <v>516</v>
      </c>
      <c r="B693" t="s">
        <v>541</v>
      </c>
      <c r="C693" t="s">
        <v>1</v>
      </c>
      <c r="D693" t="s">
        <v>0</v>
      </c>
      <c r="E693">
        <v>41909</v>
      </c>
      <c r="F693" t="s">
        <v>418</v>
      </c>
      <c r="G693" t="s">
        <v>419</v>
      </c>
      <c r="H693" s="3">
        <v>13.41</v>
      </c>
      <c r="I693" s="3">
        <v>0</v>
      </c>
      <c r="J693" s="3">
        <v>0</v>
      </c>
      <c r="K693" s="3">
        <v>113.48</v>
      </c>
      <c r="L693" s="3">
        <v>0</v>
      </c>
      <c r="M693" s="3">
        <v>0</v>
      </c>
      <c r="N693" s="3">
        <v>0</v>
      </c>
      <c r="O693" s="3">
        <v>14.752400000000002</v>
      </c>
      <c r="P693" s="3">
        <v>141.64240000000001</v>
      </c>
      <c r="Q693">
        <v>3</v>
      </c>
    </row>
    <row r="694" spans="1:17" x14ac:dyDescent="0.25">
      <c r="A694" t="s">
        <v>516</v>
      </c>
      <c r="B694" t="s">
        <v>536</v>
      </c>
      <c r="C694" t="s">
        <v>1</v>
      </c>
      <c r="D694" t="s">
        <v>0</v>
      </c>
      <c r="E694">
        <v>41434</v>
      </c>
      <c r="F694" t="s">
        <v>418</v>
      </c>
      <c r="G694" t="s">
        <v>419</v>
      </c>
      <c r="H694" s="3">
        <v>6.42</v>
      </c>
      <c r="I694" s="3">
        <v>0</v>
      </c>
      <c r="J694" s="3">
        <v>0</v>
      </c>
      <c r="K694" s="3">
        <v>54.35</v>
      </c>
      <c r="L694" s="3">
        <v>0</v>
      </c>
      <c r="M694" s="3">
        <v>0</v>
      </c>
      <c r="N694" s="3">
        <v>0</v>
      </c>
      <c r="O694" s="3">
        <v>7.0655000000000001</v>
      </c>
      <c r="P694" s="3">
        <v>67.835499999999996</v>
      </c>
      <c r="Q694">
        <v>3</v>
      </c>
    </row>
    <row r="695" spans="1:17" x14ac:dyDescent="0.25">
      <c r="A695" t="s">
        <v>516</v>
      </c>
      <c r="B695" t="s">
        <v>536</v>
      </c>
      <c r="C695" t="s">
        <v>1</v>
      </c>
      <c r="D695" t="s">
        <v>0</v>
      </c>
      <c r="E695">
        <v>41541</v>
      </c>
      <c r="F695" t="s">
        <v>418</v>
      </c>
      <c r="G695" t="s">
        <v>419</v>
      </c>
      <c r="H695" s="3">
        <v>1.85</v>
      </c>
      <c r="I695" s="3">
        <v>0</v>
      </c>
      <c r="J695" s="3">
        <v>0</v>
      </c>
      <c r="K695" s="3">
        <v>19.04</v>
      </c>
      <c r="L695" s="3">
        <v>0</v>
      </c>
      <c r="M695" s="3">
        <v>0</v>
      </c>
      <c r="N695" s="3">
        <v>0</v>
      </c>
      <c r="O695" s="3">
        <v>2.4752000000000001</v>
      </c>
      <c r="P695" s="3">
        <v>23.365200000000002</v>
      </c>
      <c r="Q695">
        <v>3</v>
      </c>
    </row>
    <row r="696" spans="1:17" x14ac:dyDescent="0.25">
      <c r="A696" t="s">
        <v>516</v>
      </c>
      <c r="B696" t="s">
        <v>540</v>
      </c>
      <c r="C696" t="s">
        <v>1</v>
      </c>
      <c r="D696" t="s">
        <v>0</v>
      </c>
      <c r="E696">
        <v>41290</v>
      </c>
      <c r="F696" t="s">
        <v>418</v>
      </c>
      <c r="G696" t="s">
        <v>419</v>
      </c>
      <c r="H696" s="3">
        <v>13.02</v>
      </c>
      <c r="I696" s="3">
        <v>0</v>
      </c>
      <c r="J696" s="3">
        <v>0</v>
      </c>
      <c r="K696" s="3">
        <v>110.17</v>
      </c>
      <c r="L696" s="3">
        <v>0</v>
      </c>
      <c r="M696" s="3">
        <v>0</v>
      </c>
      <c r="N696" s="3">
        <v>0</v>
      </c>
      <c r="O696" s="3">
        <v>14.322100000000001</v>
      </c>
      <c r="P696" s="3">
        <v>137.5121</v>
      </c>
      <c r="Q696">
        <v>3</v>
      </c>
    </row>
    <row r="697" spans="1:17" x14ac:dyDescent="0.25">
      <c r="A697" t="s">
        <v>516</v>
      </c>
      <c r="B697" t="s">
        <v>539</v>
      </c>
      <c r="C697" t="s">
        <v>1</v>
      </c>
      <c r="D697" t="s">
        <v>0</v>
      </c>
      <c r="E697">
        <v>40866</v>
      </c>
      <c r="F697" t="s">
        <v>418</v>
      </c>
      <c r="G697" t="s">
        <v>419</v>
      </c>
      <c r="H697" s="3">
        <v>7.9599999999999991</v>
      </c>
      <c r="I697" s="3">
        <v>0</v>
      </c>
      <c r="J697" s="3">
        <v>0</v>
      </c>
      <c r="K697" s="3">
        <v>67.28</v>
      </c>
      <c r="L697" s="3">
        <v>0</v>
      </c>
      <c r="M697" s="3">
        <v>0</v>
      </c>
      <c r="N697" s="3">
        <v>0</v>
      </c>
      <c r="O697" s="3">
        <v>8.7464000000000013</v>
      </c>
      <c r="P697" s="3">
        <v>83.986400000000003</v>
      </c>
      <c r="Q697">
        <v>3</v>
      </c>
    </row>
    <row r="698" spans="1:17" x14ac:dyDescent="0.25">
      <c r="A698" t="s">
        <v>516</v>
      </c>
      <c r="B698" t="s">
        <v>538</v>
      </c>
      <c r="C698" t="s">
        <v>1</v>
      </c>
      <c r="D698" t="s">
        <v>0</v>
      </c>
      <c r="E698">
        <v>40674</v>
      </c>
      <c r="F698" t="s">
        <v>418</v>
      </c>
      <c r="G698" t="s">
        <v>419</v>
      </c>
      <c r="H698" s="3">
        <v>8.0299999999999994</v>
      </c>
      <c r="I698" s="3">
        <v>0</v>
      </c>
      <c r="J698" s="3">
        <v>0</v>
      </c>
      <c r="K698" s="3">
        <v>68.040000000000006</v>
      </c>
      <c r="L698" s="3">
        <v>0</v>
      </c>
      <c r="M698" s="3">
        <v>0</v>
      </c>
      <c r="N698" s="3">
        <v>0</v>
      </c>
      <c r="O698" s="3">
        <v>8.8452000000000019</v>
      </c>
      <c r="P698" s="3">
        <v>84.915200000000013</v>
      </c>
      <c r="Q698">
        <v>3</v>
      </c>
    </row>
    <row r="699" spans="1:17" x14ac:dyDescent="0.25">
      <c r="A699" t="s">
        <v>516</v>
      </c>
      <c r="B699" t="s">
        <v>537</v>
      </c>
      <c r="C699" t="s">
        <v>1</v>
      </c>
      <c r="D699" t="s">
        <v>0</v>
      </c>
      <c r="E699">
        <v>161116</v>
      </c>
      <c r="F699" t="s">
        <v>425</v>
      </c>
      <c r="G699" t="s">
        <v>426</v>
      </c>
      <c r="H699" s="3">
        <v>7.78</v>
      </c>
      <c r="I699" s="3">
        <v>0</v>
      </c>
      <c r="J699" s="3">
        <v>0</v>
      </c>
      <c r="K699" s="3">
        <v>65.8</v>
      </c>
      <c r="L699" s="3">
        <v>0</v>
      </c>
      <c r="M699" s="3">
        <v>0</v>
      </c>
      <c r="N699" s="3">
        <v>0</v>
      </c>
      <c r="O699" s="3">
        <v>8.5540000000000003</v>
      </c>
      <c r="P699" s="3">
        <v>82.134</v>
      </c>
      <c r="Q699">
        <v>3</v>
      </c>
    </row>
    <row r="700" spans="1:17" x14ac:dyDescent="0.25">
      <c r="A700" t="s">
        <v>516</v>
      </c>
      <c r="B700" t="s">
        <v>536</v>
      </c>
      <c r="C700" t="s">
        <v>1</v>
      </c>
      <c r="D700" t="s">
        <v>0</v>
      </c>
      <c r="E700">
        <v>161424</v>
      </c>
      <c r="F700" t="s">
        <v>425</v>
      </c>
      <c r="G700" t="s">
        <v>426</v>
      </c>
      <c r="H700" s="3">
        <v>11.74</v>
      </c>
      <c r="I700" s="3">
        <v>0</v>
      </c>
      <c r="J700" s="3">
        <v>0</v>
      </c>
      <c r="K700" s="3">
        <v>119.07</v>
      </c>
      <c r="L700" s="3">
        <v>0</v>
      </c>
      <c r="M700" s="3">
        <v>0</v>
      </c>
      <c r="N700" s="3">
        <v>0</v>
      </c>
      <c r="O700" s="3">
        <v>15.479099999999999</v>
      </c>
      <c r="P700" s="3">
        <v>146.28909999999999</v>
      </c>
      <c r="Q700">
        <v>3</v>
      </c>
    </row>
    <row r="701" spans="1:17" x14ac:dyDescent="0.25">
      <c r="A701" t="s">
        <v>516</v>
      </c>
      <c r="B701" t="s">
        <v>520</v>
      </c>
      <c r="C701" t="s">
        <v>1</v>
      </c>
      <c r="D701" t="s">
        <v>0</v>
      </c>
      <c r="E701">
        <v>161659</v>
      </c>
      <c r="F701" t="s">
        <v>425</v>
      </c>
      <c r="G701" t="s">
        <v>426</v>
      </c>
      <c r="H701" s="3">
        <v>2.4699999999999998</v>
      </c>
      <c r="I701" s="3">
        <v>0</v>
      </c>
      <c r="J701" s="3">
        <v>0</v>
      </c>
      <c r="K701" s="3">
        <v>20.82</v>
      </c>
      <c r="L701" s="3">
        <v>0</v>
      </c>
      <c r="M701" s="3">
        <v>0</v>
      </c>
      <c r="N701" s="3">
        <v>0</v>
      </c>
      <c r="O701" s="3">
        <v>2.7066000000000003</v>
      </c>
      <c r="P701" s="3">
        <v>25.996600000000001</v>
      </c>
      <c r="Q701">
        <v>3</v>
      </c>
    </row>
    <row r="702" spans="1:17" x14ac:dyDescent="0.25">
      <c r="A702" t="s">
        <v>516</v>
      </c>
      <c r="B702" t="s">
        <v>521</v>
      </c>
      <c r="C702" t="s">
        <v>1</v>
      </c>
      <c r="D702" t="s">
        <v>0</v>
      </c>
      <c r="E702">
        <v>161840</v>
      </c>
      <c r="F702" t="s">
        <v>425</v>
      </c>
      <c r="G702" t="s">
        <v>426</v>
      </c>
      <c r="H702" s="3">
        <v>6.87</v>
      </c>
      <c r="I702" s="3">
        <v>0</v>
      </c>
      <c r="J702" s="3">
        <v>0</v>
      </c>
      <c r="K702" s="3">
        <v>57.97</v>
      </c>
      <c r="L702" s="3">
        <v>0</v>
      </c>
      <c r="M702" s="3">
        <v>0</v>
      </c>
      <c r="N702" s="3">
        <v>0</v>
      </c>
      <c r="O702" s="3">
        <v>7.5361000000000002</v>
      </c>
      <c r="P702" s="3">
        <v>72.376100000000008</v>
      </c>
      <c r="Q702">
        <v>3</v>
      </c>
    </row>
    <row r="703" spans="1:17" x14ac:dyDescent="0.25">
      <c r="A703" t="s">
        <v>516</v>
      </c>
      <c r="B703" t="s">
        <v>521</v>
      </c>
      <c r="C703" t="s">
        <v>1</v>
      </c>
      <c r="D703" t="s">
        <v>0</v>
      </c>
      <c r="E703">
        <v>161934</v>
      </c>
      <c r="F703" t="s">
        <v>425</v>
      </c>
      <c r="G703" t="s">
        <v>426</v>
      </c>
      <c r="H703" s="3">
        <v>7.32</v>
      </c>
      <c r="I703" s="3">
        <v>0</v>
      </c>
      <c r="J703" s="3">
        <v>0</v>
      </c>
      <c r="K703" s="3">
        <v>61.69</v>
      </c>
      <c r="L703" s="3">
        <v>0</v>
      </c>
      <c r="M703" s="3">
        <v>0</v>
      </c>
      <c r="N703" s="3">
        <v>0</v>
      </c>
      <c r="O703" s="3">
        <v>8.0197000000000003</v>
      </c>
      <c r="P703" s="3">
        <v>77.029699999999991</v>
      </c>
      <c r="Q703">
        <v>3</v>
      </c>
    </row>
    <row r="704" spans="1:17" x14ac:dyDescent="0.25">
      <c r="A704" t="s">
        <v>516</v>
      </c>
      <c r="B704" t="s">
        <v>535</v>
      </c>
      <c r="C704" t="s">
        <v>1</v>
      </c>
      <c r="D704" t="s">
        <v>0</v>
      </c>
      <c r="E704">
        <v>161985</v>
      </c>
      <c r="F704" t="s">
        <v>425</v>
      </c>
      <c r="G704" t="s">
        <v>426</v>
      </c>
      <c r="H704" s="3">
        <v>2.6</v>
      </c>
      <c r="I704" s="3">
        <v>0</v>
      </c>
      <c r="J704" s="3">
        <v>0</v>
      </c>
      <c r="K704" s="3">
        <v>21.94</v>
      </c>
      <c r="L704" s="3">
        <v>0</v>
      </c>
      <c r="M704" s="3">
        <v>0</v>
      </c>
      <c r="N704" s="3">
        <v>0</v>
      </c>
      <c r="O704" s="3">
        <v>2.8522000000000003</v>
      </c>
      <c r="P704" s="3">
        <v>27.392200000000003</v>
      </c>
      <c r="Q704">
        <v>3</v>
      </c>
    </row>
    <row r="705" spans="1:17" x14ac:dyDescent="0.25">
      <c r="A705" t="s">
        <v>516</v>
      </c>
      <c r="B705" t="s">
        <v>534</v>
      </c>
      <c r="C705" t="s">
        <v>1</v>
      </c>
      <c r="D705" t="s">
        <v>0</v>
      </c>
      <c r="E705">
        <v>162136</v>
      </c>
      <c r="F705" t="s">
        <v>425</v>
      </c>
      <c r="G705" t="s">
        <v>426</v>
      </c>
      <c r="H705" s="3">
        <v>3.04</v>
      </c>
      <c r="I705" s="3">
        <v>0</v>
      </c>
      <c r="J705" s="3">
        <v>0</v>
      </c>
      <c r="K705" s="3">
        <v>25.63</v>
      </c>
      <c r="L705" s="3">
        <v>0</v>
      </c>
      <c r="M705" s="3">
        <v>0</v>
      </c>
      <c r="N705" s="3">
        <v>0</v>
      </c>
      <c r="O705" s="3">
        <v>3.3319000000000001</v>
      </c>
      <c r="P705" s="3">
        <v>32.001899999999999</v>
      </c>
      <c r="Q705">
        <v>3</v>
      </c>
    </row>
    <row r="706" spans="1:17" x14ac:dyDescent="0.25">
      <c r="A706" t="s">
        <v>516</v>
      </c>
      <c r="B706" t="s">
        <v>524</v>
      </c>
      <c r="C706" t="s">
        <v>1</v>
      </c>
      <c r="D706" t="s">
        <v>0</v>
      </c>
      <c r="E706">
        <v>162324</v>
      </c>
      <c r="F706" t="s">
        <v>425</v>
      </c>
      <c r="G706" t="s">
        <v>426</v>
      </c>
      <c r="H706" s="3">
        <v>2.34</v>
      </c>
      <c r="I706" s="3">
        <v>0</v>
      </c>
      <c r="J706" s="3">
        <v>0</v>
      </c>
      <c r="K706" s="3">
        <v>19.71</v>
      </c>
      <c r="L706" s="3">
        <v>0</v>
      </c>
      <c r="M706" s="3">
        <v>0</v>
      </c>
      <c r="N706" s="3">
        <v>0</v>
      </c>
      <c r="O706" s="3">
        <v>2.5623</v>
      </c>
      <c r="P706" s="3">
        <v>24.612300000000001</v>
      </c>
      <c r="Q706">
        <v>3</v>
      </c>
    </row>
    <row r="707" spans="1:17" x14ac:dyDescent="0.25">
      <c r="A707" t="s">
        <v>516</v>
      </c>
      <c r="B707" t="s">
        <v>525</v>
      </c>
      <c r="C707" t="s">
        <v>1</v>
      </c>
      <c r="D707" t="s">
        <v>0</v>
      </c>
      <c r="E707">
        <v>162700</v>
      </c>
      <c r="F707" t="s">
        <v>425</v>
      </c>
      <c r="G707" t="s">
        <v>426</v>
      </c>
      <c r="H707" s="3">
        <v>3.04</v>
      </c>
      <c r="I707" s="3">
        <v>0</v>
      </c>
      <c r="J707" s="3">
        <v>0</v>
      </c>
      <c r="K707" s="3">
        <v>25.63</v>
      </c>
      <c r="L707" s="3">
        <v>0</v>
      </c>
      <c r="M707" s="3">
        <v>0</v>
      </c>
      <c r="N707" s="3">
        <v>0</v>
      </c>
      <c r="O707" s="3">
        <v>3.3319000000000001</v>
      </c>
      <c r="P707" s="3">
        <v>32.001899999999999</v>
      </c>
      <c r="Q707">
        <v>3</v>
      </c>
    </row>
    <row r="708" spans="1:17" x14ac:dyDescent="0.25">
      <c r="A708" t="s">
        <v>516</v>
      </c>
      <c r="B708" t="s">
        <v>525</v>
      </c>
      <c r="C708" t="s">
        <v>1</v>
      </c>
      <c r="D708" t="s">
        <v>0</v>
      </c>
      <c r="E708">
        <v>163045</v>
      </c>
      <c r="F708" t="s">
        <v>425</v>
      </c>
      <c r="G708" t="s">
        <v>426</v>
      </c>
      <c r="H708" s="3">
        <v>3.12</v>
      </c>
      <c r="I708" s="3">
        <v>0</v>
      </c>
      <c r="J708" s="3">
        <v>0</v>
      </c>
      <c r="K708" s="3">
        <v>26.32</v>
      </c>
      <c r="L708" s="3">
        <v>0</v>
      </c>
      <c r="M708" s="3">
        <v>0</v>
      </c>
      <c r="N708" s="3">
        <v>0</v>
      </c>
      <c r="O708" s="3">
        <v>3.4216000000000002</v>
      </c>
      <c r="P708" s="3">
        <v>32.861600000000003</v>
      </c>
      <c r="Q708">
        <v>3</v>
      </c>
    </row>
    <row r="709" spans="1:17" x14ac:dyDescent="0.25">
      <c r="A709" t="s">
        <v>516</v>
      </c>
      <c r="B709" t="s">
        <v>525</v>
      </c>
      <c r="C709" t="s">
        <v>1</v>
      </c>
      <c r="D709" t="s">
        <v>0</v>
      </c>
      <c r="E709">
        <v>163090</v>
      </c>
      <c r="F709" t="s">
        <v>425</v>
      </c>
      <c r="G709" t="s">
        <v>426</v>
      </c>
      <c r="H709" s="3">
        <v>6.1499999999999995</v>
      </c>
      <c r="I709" s="3">
        <v>0</v>
      </c>
      <c r="J709" s="3">
        <v>0</v>
      </c>
      <c r="K709" s="3">
        <v>51.93</v>
      </c>
      <c r="L709" s="3">
        <v>0</v>
      </c>
      <c r="M709" s="3">
        <v>0</v>
      </c>
      <c r="N709" s="3">
        <v>0</v>
      </c>
      <c r="O709" s="3">
        <v>6.7509000000000006</v>
      </c>
      <c r="P709" s="3">
        <v>64.8309</v>
      </c>
      <c r="Q709">
        <v>3</v>
      </c>
    </row>
    <row r="710" spans="1:17" x14ac:dyDescent="0.25">
      <c r="A710" t="s">
        <v>516</v>
      </c>
      <c r="B710" t="s">
        <v>517</v>
      </c>
      <c r="C710" t="s">
        <v>1</v>
      </c>
      <c r="D710" t="s">
        <v>0</v>
      </c>
      <c r="E710">
        <v>163216</v>
      </c>
      <c r="F710" t="s">
        <v>425</v>
      </c>
      <c r="G710" t="s">
        <v>426</v>
      </c>
      <c r="H710" s="3">
        <v>1.9</v>
      </c>
      <c r="I710" s="3">
        <v>0</v>
      </c>
      <c r="J710" s="3">
        <v>0</v>
      </c>
      <c r="K710" s="3">
        <v>16</v>
      </c>
      <c r="L710" s="3">
        <v>0</v>
      </c>
      <c r="M710" s="3">
        <v>0</v>
      </c>
      <c r="N710" s="3">
        <v>0</v>
      </c>
      <c r="O710" s="3">
        <v>2.08</v>
      </c>
      <c r="P710" s="3">
        <v>19.979999999999997</v>
      </c>
      <c r="Q710">
        <v>3</v>
      </c>
    </row>
    <row r="711" spans="1:17" x14ac:dyDescent="0.25">
      <c r="A711" t="s">
        <v>516</v>
      </c>
      <c r="B711" t="s">
        <v>517</v>
      </c>
      <c r="C711" t="s">
        <v>1</v>
      </c>
      <c r="D711" t="s">
        <v>0</v>
      </c>
      <c r="E711">
        <v>163318</v>
      </c>
      <c r="F711" t="s">
        <v>425</v>
      </c>
      <c r="G711" t="s">
        <v>426</v>
      </c>
      <c r="H711" s="3">
        <v>2.5099999999999998</v>
      </c>
      <c r="I711" s="3">
        <v>0</v>
      </c>
      <c r="J711" s="3">
        <v>0</v>
      </c>
      <c r="K711" s="3">
        <v>21.27</v>
      </c>
      <c r="L711" s="3">
        <v>0</v>
      </c>
      <c r="M711" s="3">
        <v>0</v>
      </c>
      <c r="N711" s="3">
        <v>0</v>
      </c>
      <c r="O711" s="3">
        <v>2.7650999999999999</v>
      </c>
      <c r="P711" s="3">
        <v>26.545100000000001</v>
      </c>
      <c r="Q711">
        <v>3</v>
      </c>
    </row>
    <row r="712" spans="1:17" x14ac:dyDescent="0.25">
      <c r="A712" t="s">
        <v>516</v>
      </c>
      <c r="B712" t="s">
        <v>517</v>
      </c>
      <c r="C712" t="s">
        <v>1</v>
      </c>
      <c r="D712" t="s">
        <v>0</v>
      </c>
      <c r="E712">
        <v>163331</v>
      </c>
      <c r="F712" t="s">
        <v>425</v>
      </c>
      <c r="G712" t="s">
        <v>426</v>
      </c>
      <c r="H712" s="3">
        <v>6.93</v>
      </c>
      <c r="I712" s="3">
        <v>0</v>
      </c>
      <c r="J712" s="3">
        <v>0</v>
      </c>
      <c r="K712" s="3">
        <v>58.47</v>
      </c>
      <c r="L712" s="3">
        <v>0</v>
      </c>
      <c r="M712" s="3">
        <v>0</v>
      </c>
      <c r="N712" s="3">
        <v>0</v>
      </c>
      <c r="O712" s="3">
        <v>7.6010999999999997</v>
      </c>
      <c r="P712" s="3">
        <v>73.001100000000008</v>
      </c>
      <c r="Q712">
        <v>3</v>
      </c>
    </row>
    <row r="713" spans="1:17" x14ac:dyDescent="0.25">
      <c r="A713" t="s">
        <v>516</v>
      </c>
      <c r="B713" t="s">
        <v>517</v>
      </c>
      <c r="C713" t="s">
        <v>1</v>
      </c>
      <c r="D713" t="s">
        <v>0</v>
      </c>
      <c r="E713">
        <v>163371</v>
      </c>
      <c r="F713" t="s">
        <v>425</v>
      </c>
      <c r="G713" t="s">
        <v>426</v>
      </c>
      <c r="H713" s="3">
        <v>3.4</v>
      </c>
      <c r="I713" s="3">
        <v>0</v>
      </c>
      <c r="J713" s="3">
        <v>0</v>
      </c>
      <c r="K713" s="3">
        <v>28.68</v>
      </c>
      <c r="L713" s="3">
        <v>0</v>
      </c>
      <c r="M713" s="3">
        <v>0</v>
      </c>
      <c r="N713" s="3">
        <v>0</v>
      </c>
      <c r="O713" s="3">
        <v>3.7284000000000002</v>
      </c>
      <c r="P713" s="3">
        <v>35.808399999999999</v>
      </c>
      <c r="Q713">
        <v>3</v>
      </c>
    </row>
    <row r="714" spans="1:17" x14ac:dyDescent="0.25">
      <c r="A714" t="s">
        <v>516</v>
      </c>
      <c r="B714" t="s">
        <v>533</v>
      </c>
      <c r="C714" t="s">
        <v>1</v>
      </c>
      <c r="D714" t="s">
        <v>0</v>
      </c>
      <c r="E714">
        <v>163784</v>
      </c>
      <c r="F714" t="s">
        <v>425</v>
      </c>
      <c r="G714" t="s">
        <v>426</v>
      </c>
      <c r="H714" s="3">
        <v>3.58</v>
      </c>
      <c r="I714" s="3">
        <v>0</v>
      </c>
      <c r="J714" s="3">
        <v>0</v>
      </c>
      <c r="K714" s="3">
        <v>35.799999999999997</v>
      </c>
      <c r="L714" s="3">
        <v>0</v>
      </c>
      <c r="M714" s="3">
        <v>0</v>
      </c>
      <c r="N714" s="3">
        <v>0</v>
      </c>
      <c r="O714" s="3">
        <v>4.6539999999999999</v>
      </c>
      <c r="P714" s="3">
        <v>44.033999999999992</v>
      </c>
      <c r="Q714">
        <v>3</v>
      </c>
    </row>
    <row r="715" spans="1:17" x14ac:dyDescent="0.25">
      <c r="A715" t="s">
        <v>516</v>
      </c>
      <c r="B715" t="s">
        <v>532</v>
      </c>
      <c r="C715" t="s">
        <v>1</v>
      </c>
      <c r="D715" t="s">
        <v>0</v>
      </c>
      <c r="E715">
        <v>164054</v>
      </c>
      <c r="F715" t="s">
        <v>425</v>
      </c>
      <c r="G715" t="s">
        <v>426</v>
      </c>
      <c r="H715" s="3">
        <v>3.07</v>
      </c>
      <c r="I715" s="3">
        <v>0</v>
      </c>
      <c r="J715" s="3">
        <v>0</v>
      </c>
      <c r="K715" s="3">
        <v>26.49</v>
      </c>
      <c r="L715" s="3">
        <v>0</v>
      </c>
      <c r="M715" s="3">
        <v>0</v>
      </c>
      <c r="N715" s="3">
        <v>0</v>
      </c>
      <c r="O715" s="3">
        <v>3.4436999999999998</v>
      </c>
      <c r="P715" s="3">
        <v>33.003699999999995</v>
      </c>
      <c r="Q715">
        <v>3</v>
      </c>
    </row>
    <row r="716" spans="1:17" x14ac:dyDescent="0.25">
      <c r="A716" t="s">
        <v>516</v>
      </c>
      <c r="B716" t="s">
        <v>532</v>
      </c>
      <c r="C716" t="s">
        <v>1</v>
      </c>
      <c r="D716" t="s">
        <v>0</v>
      </c>
      <c r="E716">
        <v>164153</v>
      </c>
      <c r="F716" t="s">
        <v>425</v>
      </c>
      <c r="G716" t="s">
        <v>426</v>
      </c>
      <c r="H716" s="3">
        <v>4.83</v>
      </c>
      <c r="I716" s="3">
        <v>0</v>
      </c>
      <c r="J716" s="3">
        <v>0</v>
      </c>
      <c r="K716" s="3">
        <v>41.74</v>
      </c>
      <c r="L716" s="3">
        <v>0</v>
      </c>
      <c r="M716" s="3">
        <v>0</v>
      </c>
      <c r="N716" s="3">
        <v>0</v>
      </c>
      <c r="O716" s="3">
        <v>5.4262000000000006</v>
      </c>
      <c r="P716" s="3">
        <v>51.996200000000002</v>
      </c>
      <c r="Q716">
        <v>3</v>
      </c>
    </row>
    <row r="717" spans="1:17" x14ac:dyDescent="0.25">
      <c r="A717" t="s">
        <v>516</v>
      </c>
      <c r="B717" t="s">
        <v>531</v>
      </c>
      <c r="C717" t="s">
        <v>1</v>
      </c>
      <c r="D717" t="s">
        <v>0</v>
      </c>
      <c r="E717">
        <v>164488</v>
      </c>
      <c r="F717" t="s">
        <v>425</v>
      </c>
      <c r="G717" t="s">
        <v>426</v>
      </c>
      <c r="H717" s="3">
        <v>3</v>
      </c>
      <c r="I717" s="3">
        <v>0</v>
      </c>
      <c r="J717" s="3">
        <v>0</v>
      </c>
      <c r="K717" s="3">
        <v>25.88</v>
      </c>
      <c r="L717" s="3">
        <v>0</v>
      </c>
      <c r="M717" s="3">
        <v>0</v>
      </c>
      <c r="N717" s="3">
        <v>0</v>
      </c>
      <c r="O717" s="3">
        <v>3.3643999999999998</v>
      </c>
      <c r="P717" s="3">
        <v>32.244399999999999</v>
      </c>
      <c r="Q717">
        <v>3</v>
      </c>
    </row>
    <row r="718" spans="1:17" x14ac:dyDescent="0.25">
      <c r="A718" t="s">
        <v>516</v>
      </c>
      <c r="B718" t="s">
        <v>529</v>
      </c>
      <c r="C718" t="s">
        <v>1</v>
      </c>
      <c r="D718" t="s">
        <v>0</v>
      </c>
      <c r="E718">
        <v>164643</v>
      </c>
      <c r="F718" t="s">
        <v>425</v>
      </c>
      <c r="G718" t="s">
        <v>426</v>
      </c>
      <c r="H718" s="3">
        <v>10.81</v>
      </c>
      <c r="I718" s="3">
        <v>0</v>
      </c>
      <c r="J718" s="3">
        <v>0</v>
      </c>
      <c r="K718" s="3">
        <v>93.43</v>
      </c>
      <c r="L718" s="3">
        <v>0</v>
      </c>
      <c r="M718" s="3">
        <v>0</v>
      </c>
      <c r="N718" s="3">
        <v>0</v>
      </c>
      <c r="O718" s="3">
        <v>12.145900000000001</v>
      </c>
      <c r="P718" s="3">
        <v>116.38590000000001</v>
      </c>
      <c r="Q718">
        <v>3</v>
      </c>
    </row>
    <row r="719" spans="1:17" x14ac:dyDescent="0.25">
      <c r="A719" t="s">
        <v>516</v>
      </c>
      <c r="B719" t="s">
        <v>517</v>
      </c>
      <c r="C719" t="s">
        <v>1</v>
      </c>
      <c r="D719" t="s">
        <v>0</v>
      </c>
      <c r="E719">
        <v>43054</v>
      </c>
      <c r="F719" t="s">
        <v>477</v>
      </c>
      <c r="G719" t="s">
        <v>478</v>
      </c>
      <c r="H719" s="3">
        <v>0</v>
      </c>
      <c r="I719" s="3">
        <v>0</v>
      </c>
      <c r="J719" s="3">
        <v>0</v>
      </c>
      <c r="K719" s="3">
        <v>158.63999999999999</v>
      </c>
      <c r="L719" s="3">
        <v>0</v>
      </c>
      <c r="M719" s="3">
        <v>0</v>
      </c>
      <c r="N719" s="3">
        <v>0</v>
      </c>
      <c r="O719" s="3">
        <v>20.623200000000001</v>
      </c>
      <c r="P719" s="3">
        <v>179.26319999999998</v>
      </c>
      <c r="Q719">
        <v>3</v>
      </c>
    </row>
    <row r="720" spans="1:17" x14ac:dyDescent="0.25">
      <c r="A720" t="s">
        <v>87</v>
      </c>
      <c r="B720" t="s">
        <v>417</v>
      </c>
      <c r="C720" t="s">
        <v>1</v>
      </c>
      <c r="D720" t="s">
        <v>0</v>
      </c>
      <c r="E720">
        <v>32799</v>
      </c>
      <c r="F720" t="s">
        <v>418</v>
      </c>
      <c r="G720" t="s">
        <v>419</v>
      </c>
      <c r="H720" s="3">
        <v>11.47</v>
      </c>
      <c r="I720" s="3">
        <v>0</v>
      </c>
      <c r="J720" s="3">
        <v>0</v>
      </c>
      <c r="K720" s="3">
        <v>97.81</v>
      </c>
      <c r="L720" s="3">
        <v>0</v>
      </c>
      <c r="M720" s="3">
        <v>0</v>
      </c>
      <c r="N720" s="3">
        <v>0</v>
      </c>
      <c r="O720" s="3">
        <v>12.715300000000001</v>
      </c>
      <c r="P720" s="3">
        <v>121.9953</v>
      </c>
      <c r="Q720">
        <v>3</v>
      </c>
    </row>
    <row r="721" spans="1:17" x14ac:dyDescent="0.25">
      <c r="A721" t="s">
        <v>87</v>
      </c>
      <c r="B721" t="s">
        <v>123</v>
      </c>
      <c r="C721" t="s">
        <v>1</v>
      </c>
      <c r="D721" t="s">
        <v>0</v>
      </c>
      <c r="E721">
        <v>2986</v>
      </c>
      <c r="F721" t="s">
        <v>475</v>
      </c>
      <c r="G721" t="s">
        <v>476</v>
      </c>
      <c r="H721" s="3">
        <v>0</v>
      </c>
      <c r="I721" s="3">
        <v>0</v>
      </c>
      <c r="J721" s="3">
        <v>0</v>
      </c>
      <c r="K721" s="3">
        <v>56.26</v>
      </c>
      <c r="L721" s="3">
        <v>0</v>
      </c>
      <c r="M721" s="3">
        <v>0</v>
      </c>
      <c r="N721" s="3">
        <v>0</v>
      </c>
      <c r="O721" s="3">
        <v>7.3137999999999996</v>
      </c>
      <c r="P721" s="3">
        <v>63.573799999999999</v>
      </c>
      <c r="Q721">
        <v>3</v>
      </c>
    </row>
    <row r="722" spans="1:17" x14ac:dyDescent="0.25">
      <c r="A722" t="s">
        <v>87</v>
      </c>
      <c r="B722" t="s">
        <v>123</v>
      </c>
      <c r="C722" t="s">
        <v>1</v>
      </c>
      <c r="D722" t="s">
        <v>0</v>
      </c>
      <c r="E722">
        <v>2985</v>
      </c>
      <c r="F722" t="s">
        <v>475</v>
      </c>
      <c r="G722" t="s">
        <v>476</v>
      </c>
      <c r="H722" s="3">
        <v>0</v>
      </c>
      <c r="I722" s="3">
        <v>0</v>
      </c>
      <c r="J722" s="3">
        <v>0</v>
      </c>
      <c r="K722" s="3">
        <v>56.26</v>
      </c>
      <c r="L722" s="3">
        <v>0</v>
      </c>
      <c r="M722" s="3">
        <v>0</v>
      </c>
      <c r="N722" s="3">
        <v>0</v>
      </c>
      <c r="O722" s="3">
        <v>7.3137999999999996</v>
      </c>
      <c r="P722" s="3">
        <v>63.573799999999999</v>
      </c>
      <c r="Q722">
        <v>3</v>
      </c>
    </row>
    <row r="723" spans="1:17" x14ac:dyDescent="0.25">
      <c r="A723" t="s">
        <v>87</v>
      </c>
      <c r="B723" t="s">
        <v>123</v>
      </c>
      <c r="C723" t="s">
        <v>1</v>
      </c>
      <c r="D723" t="s">
        <v>0</v>
      </c>
      <c r="E723">
        <v>2978</v>
      </c>
      <c r="F723" t="s">
        <v>475</v>
      </c>
      <c r="G723" t="s">
        <v>476</v>
      </c>
      <c r="H723" s="3">
        <v>0</v>
      </c>
      <c r="I723" s="3">
        <v>0</v>
      </c>
      <c r="J723" s="3">
        <v>0</v>
      </c>
      <c r="K723" s="3">
        <v>28.08</v>
      </c>
      <c r="L723" s="3">
        <v>0</v>
      </c>
      <c r="M723" s="3">
        <v>0</v>
      </c>
      <c r="N723" s="3">
        <v>0</v>
      </c>
      <c r="O723" s="3">
        <v>3.6503999999999999</v>
      </c>
      <c r="P723" s="3">
        <v>31.730399999999999</v>
      </c>
      <c r="Q723">
        <v>3</v>
      </c>
    </row>
    <row r="724" spans="1:17" x14ac:dyDescent="0.25">
      <c r="A724" t="s">
        <v>87</v>
      </c>
      <c r="B724" t="s">
        <v>123</v>
      </c>
      <c r="C724" t="s">
        <v>1</v>
      </c>
      <c r="D724" t="s">
        <v>0</v>
      </c>
      <c r="E724">
        <v>618</v>
      </c>
      <c r="F724" t="s">
        <v>455</v>
      </c>
      <c r="G724" t="s">
        <v>456</v>
      </c>
      <c r="H724" s="3">
        <v>8.1</v>
      </c>
      <c r="I724" s="3">
        <v>0</v>
      </c>
      <c r="J724" s="3">
        <v>0</v>
      </c>
      <c r="K724" s="3">
        <v>68.05</v>
      </c>
      <c r="L724" s="3">
        <v>0</v>
      </c>
      <c r="M724" s="3">
        <v>0</v>
      </c>
      <c r="N724" s="3">
        <v>0</v>
      </c>
      <c r="O724" s="3">
        <v>8.8465000000000007</v>
      </c>
      <c r="P724" s="3">
        <v>84.996499999999997</v>
      </c>
      <c r="Q724">
        <v>3</v>
      </c>
    </row>
    <row r="725" spans="1:17" x14ac:dyDescent="0.25">
      <c r="A725" t="s">
        <v>87</v>
      </c>
      <c r="B725" t="s">
        <v>123</v>
      </c>
      <c r="C725" t="s">
        <v>1</v>
      </c>
      <c r="D725" t="s">
        <v>0</v>
      </c>
      <c r="E725">
        <v>592</v>
      </c>
      <c r="F725" t="s">
        <v>455</v>
      </c>
      <c r="G725" t="s">
        <v>456</v>
      </c>
      <c r="H725" s="3">
        <v>12.67</v>
      </c>
      <c r="I725" s="3">
        <v>0</v>
      </c>
      <c r="J725" s="3">
        <v>0</v>
      </c>
      <c r="K725" s="3">
        <v>106.49</v>
      </c>
      <c r="L725" s="3">
        <v>0</v>
      </c>
      <c r="M725" s="3">
        <v>0</v>
      </c>
      <c r="N725" s="3">
        <v>0</v>
      </c>
      <c r="O725" s="3">
        <v>13.8437</v>
      </c>
      <c r="P725" s="3">
        <v>133.00370000000001</v>
      </c>
      <c r="Q725">
        <v>3</v>
      </c>
    </row>
    <row r="726" spans="1:17" x14ac:dyDescent="0.25">
      <c r="A726" t="s">
        <v>87</v>
      </c>
      <c r="B726" t="s">
        <v>123</v>
      </c>
      <c r="C726" t="s">
        <v>1</v>
      </c>
      <c r="D726" t="s">
        <v>0</v>
      </c>
      <c r="E726">
        <v>179</v>
      </c>
      <c r="F726" t="s">
        <v>431</v>
      </c>
      <c r="G726" t="s">
        <v>432</v>
      </c>
      <c r="H726" s="3">
        <v>0</v>
      </c>
      <c r="I726" s="3">
        <v>0</v>
      </c>
      <c r="J726" s="3">
        <v>0</v>
      </c>
      <c r="K726" s="3">
        <v>18.82</v>
      </c>
      <c r="L726" s="3">
        <v>0</v>
      </c>
      <c r="M726" s="3">
        <v>0</v>
      </c>
      <c r="N726" s="3">
        <v>0</v>
      </c>
      <c r="O726" s="3">
        <v>2.4466000000000001</v>
      </c>
      <c r="P726" s="3">
        <v>21.2666</v>
      </c>
      <c r="Q726">
        <v>3</v>
      </c>
    </row>
    <row r="727" spans="1:17" x14ac:dyDescent="0.25">
      <c r="A727" t="s">
        <v>87</v>
      </c>
      <c r="B727" t="s">
        <v>123</v>
      </c>
      <c r="C727" t="s">
        <v>1</v>
      </c>
      <c r="D727" t="s">
        <v>0</v>
      </c>
      <c r="E727">
        <v>838078</v>
      </c>
      <c r="F727" t="s">
        <v>427</v>
      </c>
      <c r="G727" t="s">
        <v>428</v>
      </c>
      <c r="H727" s="3">
        <v>0</v>
      </c>
      <c r="I727" s="3">
        <v>0</v>
      </c>
      <c r="J727" s="3">
        <v>0</v>
      </c>
      <c r="K727" s="3">
        <v>15.43</v>
      </c>
      <c r="L727" s="3">
        <v>0</v>
      </c>
      <c r="M727" s="3">
        <v>0</v>
      </c>
      <c r="N727" s="3">
        <v>0</v>
      </c>
      <c r="O727" s="3">
        <v>2.0059</v>
      </c>
      <c r="P727" s="3">
        <v>17.4359</v>
      </c>
      <c r="Q727">
        <v>3</v>
      </c>
    </row>
    <row r="728" spans="1:17" x14ac:dyDescent="0.25">
      <c r="A728" t="s">
        <v>87</v>
      </c>
      <c r="B728" t="s">
        <v>123</v>
      </c>
      <c r="C728" t="s">
        <v>1</v>
      </c>
      <c r="D728" t="s">
        <v>0</v>
      </c>
      <c r="E728">
        <v>156539</v>
      </c>
      <c r="F728" t="s">
        <v>425</v>
      </c>
      <c r="G728" t="s">
        <v>426</v>
      </c>
      <c r="H728" s="3">
        <v>3.02</v>
      </c>
      <c r="I728" s="3">
        <v>0</v>
      </c>
      <c r="J728" s="3">
        <v>0</v>
      </c>
      <c r="K728" s="3">
        <v>25.65</v>
      </c>
      <c r="L728" s="3">
        <v>0</v>
      </c>
      <c r="M728" s="3">
        <v>0</v>
      </c>
      <c r="N728" s="3">
        <v>0</v>
      </c>
      <c r="O728" s="3">
        <v>3.3344999999999998</v>
      </c>
      <c r="P728" s="3">
        <v>32.0045</v>
      </c>
      <c r="Q728">
        <v>3</v>
      </c>
    </row>
    <row r="729" spans="1:17" x14ac:dyDescent="0.25">
      <c r="A729" t="s">
        <v>87</v>
      </c>
      <c r="B729" t="s">
        <v>442</v>
      </c>
      <c r="C729" t="s">
        <v>1</v>
      </c>
      <c r="D729" t="s">
        <v>0</v>
      </c>
      <c r="E729">
        <v>56635</v>
      </c>
      <c r="F729" t="s">
        <v>440</v>
      </c>
      <c r="G729" t="s">
        <v>441</v>
      </c>
      <c r="H729" s="3">
        <v>0</v>
      </c>
      <c r="I729" s="3">
        <v>0</v>
      </c>
      <c r="J729" s="3">
        <v>0</v>
      </c>
      <c r="K729" s="3">
        <v>59.7</v>
      </c>
      <c r="L729" s="3">
        <v>0</v>
      </c>
      <c r="M729" s="3">
        <v>0</v>
      </c>
      <c r="N729" s="3">
        <v>0</v>
      </c>
      <c r="O729" s="3">
        <v>7.761000000000001</v>
      </c>
      <c r="P729" s="3">
        <v>67.460999999999999</v>
      </c>
      <c r="Q729">
        <v>3</v>
      </c>
    </row>
    <row r="730" spans="1:17" x14ac:dyDescent="0.25">
      <c r="A730" t="s">
        <v>87</v>
      </c>
      <c r="B730" t="s">
        <v>126</v>
      </c>
      <c r="C730" t="s">
        <v>1</v>
      </c>
      <c r="D730" t="s">
        <v>0</v>
      </c>
      <c r="E730">
        <v>2988</v>
      </c>
      <c r="F730" t="s">
        <v>475</v>
      </c>
      <c r="G730" t="s">
        <v>476</v>
      </c>
      <c r="H730" s="3">
        <v>0</v>
      </c>
      <c r="I730" s="3">
        <v>0</v>
      </c>
      <c r="J730" s="3">
        <v>0</v>
      </c>
      <c r="K730" s="3">
        <v>58.96</v>
      </c>
      <c r="L730" s="3">
        <v>0</v>
      </c>
      <c r="M730" s="3">
        <v>0</v>
      </c>
      <c r="N730" s="3">
        <v>0</v>
      </c>
      <c r="O730" s="3">
        <v>7.6648000000000005</v>
      </c>
      <c r="P730" s="3">
        <v>66.624800000000008</v>
      </c>
      <c r="Q730">
        <v>3</v>
      </c>
    </row>
    <row r="731" spans="1:17" x14ac:dyDescent="0.25">
      <c r="A731" t="s">
        <v>87</v>
      </c>
      <c r="B731" t="s">
        <v>126</v>
      </c>
      <c r="C731" t="s">
        <v>1</v>
      </c>
      <c r="D731" t="s">
        <v>0</v>
      </c>
      <c r="E731">
        <v>251</v>
      </c>
      <c r="F731" t="s">
        <v>429</v>
      </c>
      <c r="G731" t="s">
        <v>430</v>
      </c>
      <c r="H731" s="3">
        <v>0</v>
      </c>
      <c r="I731" s="3">
        <v>0</v>
      </c>
      <c r="J731" s="3">
        <v>0</v>
      </c>
      <c r="K731" s="3">
        <v>191.15</v>
      </c>
      <c r="L731" s="3">
        <v>0</v>
      </c>
      <c r="M731" s="3">
        <v>0</v>
      </c>
      <c r="N731" s="3">
        <v>0</v>
      </c>
      <c r="O731" s="3">
        <v>24.849500000000003</v>
      </c>
      <c r="P731" s="3">
        <v>215.99950000000001</v>
      </c>
      <c r="Q731">
        <v>3</v>
      </c>
    </row>
    <row r="732" spans="1:17" x14ac:dyDescent="0.25">
      <c r="A732" t="s">
        <v>87</v>
      </c>
      <c r="B732" t="s">
        <v>126</v>
      </c>
      <c r="C732" t="s">
        <v>1</v>
      </c>
      <c r="D732" t="s">
        <v>0</v>
      </c>
      <c r="E732">
        <v>33289</v>
      </c>
      <c r="F732" t="s">
        <v>418</v>
      </c>
      <c r="G732" t="s">
        <v>419</v>
      </c>
      <c r="H732" s="3">
        <v>1.75</v>
      </c>
      <c r="I732" s="3">
        <v>0</v>
      </c>
      <c r="J732" s="3">
        <v>0</v>
      </c>
      <c r="K732" s="3">
        <v>100.22</v>
      </c>
      <c r="L732" s="3">
        <v>0</v>
      </c>
      <c r="M732" s="3">
        <v>0</v>
      </c>
      <c r="N732" s="3">
        <v>0</v>
      </c>
      <c r="O732" s="3">
        <v>13.028600000000001</v>
      </c>
      <c r="P732" s="3">
        <v>114.9986</v>
      </c>
      <c r="Q732">
        <v>3</v>
      </c>
    </row>
    <row r="733" spans="1:17" x14ac:dyDescent="0.25">
      <c r="A733" t="s">
        <v>87</v>
      </c>
      <c r="B733" t="s">
        <v>124</v>
      </c>
      <c r="C733" t="s">
        <v>1</v>
      </c>
      <c r="D733" t="s">
        <v>0</v>
      </c>
      <c r="E733">
        <v>2996</v>
      </c>
      <c r="F733" t="s">
        <v>475</v>
      </c>
      <c r="G733" t="s">
        <v>476</v>
      </c>
      <c r="H733" s="3">
        <v>0</v>
      </c>
      <c r="I733" s="3">
        <v>0</v>
      </c>
      <c r="J733" s="3">
        <v>0</v>
      </c>
      <c r="K733" s="3">
        <v>28.08</v>
      </c>
      <c r="L733" s="3">
        <v>0</v>
      </c>
      <c r="M733" s="3">
        <v>0</v>
      </c>
      <c r="N733" s="3">
        <v>0</v>
      </c>
      <c r="O733" s="3">
        <v>3.6503999999999999</v>
      </c>
      <c r="P733" s="3">
        <v>31.730399999999999</v>
      </c>
      <c r="Q733">
        <v>3</v>
      </c>
    </row>
    <row r="734" spans="1:17" x14ac:dyDescent="0.25">
      <c r="A734" t="s">
        <v>87</v>
      </c>
      <c r="B734" t="s">
        <v>124</v>
      </c>
      <c r="C734" t="s">
        <v>1</v>
      </c>
      <c r="D734" t="s">
        <v>0</v>
      </c>
      <c r="E734">
        <v>2995</v>
      </c>
      <c r="F734" t="s">
        <v>475</v>
      </c>
      <c r="G734" t="s">
        <v>476</v>
      </c>
      <c r="H734" s="3">
        <v>0</v>
      </c>
      <c r="I734" s="3">
        <v>0</v>
      </c>
      <c r="J734" s="3">
        <v>0</v>
      </c>
      <c r="K734" s="3">
        <v>85.08</v>
      </c>
      <c r="L734" s="3">
        <v>0</v>
      </c>
      <c r="M734" s="3">
        <v>0</v>
      </c>
      <c r="N734" s="3">
        <v>0</v>
      </c>
      <c r="O734" s="3">
        <v>11.0604</v>
      </c>
      <c r="P734" s="3">
        <v>96.1404</v>
      </c>
      <c r="Q734">
        <v>3</v>
      </c>
    </row>
    <row r="735" spans="1:17" x14ac:dyDescent="0.25">
      <c r="A735" t="s">
        <v>87</v>
      </c>
      <c r="B735" t="s">
        <v>124</v>
      </c>
      <c r="C735" t="s">
        <v>1</v>
      </c>
      <c r="D735" t="s">
        <v>0</v>
      </c>
      <c r="E735">
        <v>156824</v>
      </c>
      <c r="F735" t="s">
        <v>425</v>
      </c>
      <c r="G735" t="s">
        <v>426</v>
      </c>
      <c r="H735" s="3">
        <v>2.92</v>
      </c>
      <c r="I735" s="3">
        <v>0</v>
      </c>
      <c r="J735" s="3">
        <v>0</v>
      </c>
      <c r="K735" s="3">
        <v>24.86</v>
      </c>
      <c r="L735" s="3">
        <v>0</v>
      </c>
      <c r="M735" s="3">
        <v>0</v>
      </c>
      <c r="N735" s="3">
        <v>0</v>
      </c>
      <c r="O735" s="3">
        <v>3.2318000000000002</v>
      </c>
      <c r="P735" s="3">
        <v>31.011800000000001</v>
      </c>
      <c r="Q735">
        <v>3</v>
      </c>
    </row>
    <row r="736" spans="1:17" x14ac:dyDescent="0.25">
      <c r="A736" t="s">
        <v>87</v>
      </c>
      <c r="B736" t="s">
        <v>124</v>
      </c>
      <c r="C736" t="s">
        <v>1</v>
      </c>
      <c r="D736" t="s">
        <v>0</v>
      </c>
      <c r="E736">
        <v>33410</v>
      </c>
      <c r="F736" t="s">
        <v>418</v>
      </c>
      <c r="G736" t="s">
        <v>419</v>
      </c>
      <c r="H736" s="3">
        <v>13.75</v>
      </c>
      <c r="I736" s="3">
        <v>0</v>
      </c>
      <c r="J736" s="3">
        <v>0</v>
      </c>
      <c r="K736" s="3">
        <v>117.23</v>
      </c>
      <c r="L736" s="3">
        <v>0</v>
      </c>
      <c r="M736" s="3">
        <v>0</v>
      </c>
      <c r="N736" s="3">
        <v>0</v>
      </c>
      <c r="O736" s="3">
        <v>15.2399</v>
      </c>
      <c r="P736" s="3">
        <v>146.21990000000002</v>
      </c>
      <c r="Q736">
        <v>3</v>
      </c>
    </row>
    <row r="737" spans="1:17" x14ac:dyDescent="0.25">
      <c r="A737" t="s">
        <v>87</v>
      </c>
      <c r="B737" t="s">
        <v>130</v>
      </c>
      <c r="C737" t="s">
        <v>1</v>
      </c>
      <c r="D737" t="s">
        <v>0</v>
      </c>
      <c r="E737">
        <v>33681</v>
      </c>
      <c r="F737" t="s">
        <v>418</v>
      </c>
      <c r="G737" t="s">
        <v>419</v>
      </c>
      <c r="H737" s="3">
        <v>7.52</v>
      </c>
      <c r="I737" s="3">
        <v>0</v>
      </c>
      <c r="J737" s="3">
        <v>0</v>
      </c>
      <c r="K737" s="3">
        <v>64.14</v>
      </c>
      <c r="L737" s="3">
        <v>0</v>
      </c>
      <c r="M737" s="3">
        <v>0</v>
      </c>
      <c r="N737" s="3">
        <v>0</v>
      </c>
      <c r="O737" s="3">
        <v>8.3382000000000005</v>
      </c>
      <c r="P737" s="3">
        <v>79.998199999999997</v>
      </c>
      <c r="Q737">
        <v>3</v>
      </c>
    </row>
    <row r="738" spans="1:17" x14ac:dyDescent="0.25">
      <c r="A738" t="s">
        <v>87</v>
      </c>
      <c r="B738" t="s">
        <v>457</v>
      </c>
      <c r="C738" t="s">
        <v>1</v>
      </c>
      <c r="D738" t="s">
        <v>0</v>
      </c>
      <c r="E738">
        <v>41842</v>
      </c>
      <c r="F738" t="s">
        <v>455</v>
      </c>
      <c r="G738" t="s">
        <v>456</v>
      </c>
      <c r="H738" s="3">
        <v>19.75</v>
      </c>
      <c r="I738" s="3">
        <v>0</v>
      </c>
      <c r="J738" s="3">
        <v>0</v>
      </c>
      <c r="K738" s="3">
        <v>166.58</v>
      </c>
      <c r="L738" s="3">
        <v>0</v>
      </c>
      <c r="M738" s="3">
        <v>0</v>
      </c>
      <c r="N738" s="3">
        <v>0</v>
      </c>
      <c r="O738" s="3">
        <v>21.655400000000004</v>
      </c>
      <c r="P738" s="3">
        <v>207.98540000000003</v>
      </c>
      <c r="Q738">
        <v>3</v>
      </c>
    </row>
    <row r="739" spans="1:17" x14ac:dyDescent="0.25">
      <c r="A739" t="s">
        <v>87</v>
      </c>
      <c r="B739" t="s">
        <v>420</v>
      </c>
      <c r="C739" t="s">
        <v>1</v>
      </c>
      <c r="D739" t="s">
        <v>0</v>
      </c>
      <c r="E739">
        <v>47248</v>
      </c>
      <c r="F739" t="s">
        <v>463</v>
      </c>
      <c r="G739" t="s">
        <v>464</v>
      </c>
      <c r="H739" s="3">
        <v>0</v>
      </c>
      <c r="I739" s="3">
        <v>0</v>
      </c>
      <c r="J739" s="3">
        <v>0</v>
      </c>
      <c r="K739" s="3">
        <v>9.51</v>
      </c>
      <c r="L739" s="3">
        <v>0</v>
      </c>
      <c r="M739" s="3">
        <v>0</v>
      </c>
      <c r="N739" s="3">
        <v>0</v>
      </c>
      <c r="O739" s="3">
        <v>1.2363</v>
      </c>
      <c r="P739" s="3">
        <v>10.7463</v>
      </c>
      <c r="Q739">
        <v>3</v>
      </c>
    </row>
    <row r="740" spans="1:17" x14ac:dyDescent="0.25">
      <c r="A740" t="s">
        <v>87</v>
      </c>
      <c r="B740" t="s">
        <v>420</v>
      </c>
      <c r="C740" t="s">
        <v>1</v>
      </c>
      <c r="D740" t="s">
        <v>0</v>
      </c>
      <c r="E740">
        <v>33772</v>
      </c>
      <c r="F740" t="s">
        <v>418</v>
      </c>
      <c r="G740" t="s">
        <v>419</v>
      </c>
      <c r="H740" s="3">
        <v>7.33</v>
      </c>
      <c r="I740" s="3">
        <v>0</v>
      </c>
      <c r="J740" s="3">
        <v>0</v>
      </c>
      <c r="K740" s="3">
        <v>62.54</v>
      </c>
      <c r="L740" s="3">
        <v>0</v>
      </c>
      <c r="M740" s="3">
        <v>0</v>
      </c>
      <c r="N740" s="3">
        <v>0</v>
      </c>
      <c r="O740" s="3">
        <v>8.1302000000000003</v>
      </c>
      <c r="P740" s="3">
        <v>78.000200000000007</v>
      </c>
      <c r="Q740">
        <v>3</v>
      </c>
    </row>
    <row r="741" spans="1:17" x14ac:dyDescent="0.25">
      <c r="A741" t="s">
        <v>87</v>
      </c>
      <c r="B741" t="s">
        <v>482</v>
      </c>
      <c r="C741" t="s">
        <v>1</v>
      </c>
      <c r="D741" t="s">
        <v>0</v>
      </c>
      <c r="E741">
        <v>170</v>
      </c>
      <c r="F741" t="s">
        <v>489</v>
      </c>
      <c r="G741" t="s">
        <v>490</v>
      </c>
      <c r="H741" s="3">
        <v>0</v>
      </c>
      <c r="I741" s="3">
        <v>0</v>
      </c>
      <c r="J741" s="3">
        <v>0</v>
      </c>
      <c r="K741" s="3">
        <v>12.39</v>
      </c>
      <c r="L741" s="3">
        <v>0</v>
      </c>
      <c r="M741" s="3">
        <v>0</v>
      </c>
      <c r="N741" s="3">
        <v>0</v>
      </c>
      <c r="O741" s="3">
        <v>1.6107</v>
      </c>
      <c r="P741" s="3">
        <v>14.0007</v>
      </c>
      <c r="Q741">
        <v>3</v>
      </c>
    </row>
    <row r="742" spans="1:17" x14ac:dyDescent="0.25">
      <c r="A742" t="s">
        <v>87</v>
      </c>
      <c r="B742" t="s">
        <v>482</v>
      </c>
      <c r="C742" t="s">
        <v>1</v>
      </c>
      <c r="D742" t="s">
        <v>0</v>
      </c>
      <c r="E742">
        <v>10544</v>
      </c>
      <c r="F742" t="s">
        <v>453</v>
      </c>
      <c r="G742" t="s">
        <v>454</v>
      </c>
      <c r="H742" s="3">
        <v>0</v>
      </c>
      <c r="I742" s="3">
        <v>0</v>
      </c>
      <c r="J742" s="3">
        <v>0</v>
      </c>
      <c r="K742" s="3">
        <v>7.2</v>
      </c>
      <c r="L742" s="3">
        <v>0</v>
      </c>
      <c r="M742" s="3">
        <v>0</v>
      </c>
      <c r="N742" s="3">
        <v>0</v>
      </c>
      <c r="O742" s="3">
        <v>0.93600000000000005</v>
      </c>
      <c r="P742" s="3">
        <v>8.136000000000001</v>
      </c>
      <c r="Q742">
        <v>3</v>
      </c>
    </row>
    <row r="743" spans="1:17" x14ac:dyDescent="0.25">
      <c r="A743" t="s">
        <v>87</v>
      </c>
      <c r="B743" t="s">
        <v>125</v>
      </c>
      <c r="C743" t="s">
        <v>1</v>
      </c>
      <c r="D743" t="s">
        <v>0</v>
      </c>
      <c r="E743">
        <v>18</v>
      </c>
      <c r="F743" t="s">
        <v>475</v>
      </c>
      <c r="G743" t="s">
        <v>476</v>
      </c>
      <c r="H743" s="3">
        <v>0</v>
      </c>
      <c r="I743" s="3">
        <v>0</v>
      </c>
      <c r="J743" s="3">
        <v>0</v>
      </c>
      <c r="K743" s="3">
        <v>28.08</v>
      </c>
      <c r="L743" s="3">
        <v>0</v>
      </c>
      <c r="M743" s="3">
        <v>0</v>
      </c>
      <c r="N743" s="3">
        <v>0</v>
      </c>
      <c r="O743" s="3">
        <v>3.6503999999999999</v>
      </c>
      <c r="P743" s="3">
        <v>31.730399999999999</v>
      </c>
      <c r="Q743">
        <v>3</v>
      </c>
    </row>
    <row r="744" spans="1:17" x14ac:dyDescent="0.25">
      <c r="A744" t="s">
        <v>87</v>
      </c>
      <c r="B744" t="s">
        <v>125</v>
      </c>
      <c r="C744" t="s">
        <v>1</v>
      </c>
      <c r="D744" t="s">
        <v>0</v>
      </c>
      <c r="E744">
        <v>22</v>
      </c>
      <c r="F744" t="s">
        <v>475</v>
      </c>
      <c r="G744" t="s">
        <v>476</v>
      </c>
      <c r="H744" s="3">
        <v>0</v>
      </c>
      <c r="I744" s="3">
        <v>0</v>
      </c>
      <c r="J744" s="3">
        <v>0</v>
      </c>
      <c r="K744" s="3">
        <v>40.99</v>
      </c>
      <c r="L744" s="3">
        <v>0</v>
      </c>
      <c r="M744" s="3">
        <v>0</v>
      </c>
      <c r="N744" s="3">
        <v>0</v>
      </c>
      <c r="O744" s="3">
        <v>5.3287000000000004</v>
      </c>
      <c r="P744" s="3">
        <v>46.3187</v>
      </c>
      <c r="Q744">
        <v>3</v>
      </c>
    </row>
    <row r="745" spans="1:17" x14ac:dyDescent="0.25">
      <c r="A745" t="s">
        <v>87</v>
      </c>
      <c r="B745" t="s">
        <v>125</v>
      </c>
      <c r="C745" t="s">
        <v>1</v>
      </c>
      <c r="D745" t="s">
        <v>0</v>
      </c>
      <c r="E745">
        <v>17</v>
      </c>
      <c r="F745" t="s">
        <v>475</v>
      </c>
      <c r="G745" t="s">
        <v>476</v>
      </c>
      <c r="H745" s="3">
        <v>0</v>
      </c>
      <c r="I745" s="3">
        <v>0</v>
      </c>
      <c r="J745" s="3">
        <v>0</v>
      </c>
      <c r="K745" s="3">
        <v>30.04</v>
      </c>
      <c r="L745" s="3">
        <v>0</v>
      </c>
      <c r="M745" s="3">
        <v>0</v>
      </c>
      <c r="N745" s="3">
        <v>0</v>
      </c>
      <c r="O745" s="3">
        <v>3.9052000000000002</v>
      </c>
      <c r="P745" s="3">
        <v>33.9452</v>
      </c>
      <c r="Q745">
        <v>3</v>
      </c>
    </row>
    <row r="746" spans="1:17" x14ac:dyDescent="0.25">
      <c r="A746" t="s">
        <v>87</v>
      </c>
      <c r="B746" t="s">
        <v>125</v>
      </c>
      <c r="C746" t="s">
        <v>1</v>
      </c>
      <c r="D746" t="s">
        <v>0</v>
      </c>
      <c r="E746">
        <v>19</v>
      </c>
      <c r="F746" t="s">
        <v>475</v>
      </c>
      <c r="G746" t="s">
        <v>476</v>
      </c>
      <c r="H746" s="3">
        <v>0</v>
      </c>
      <c r="I746" s="3">
        <v>0</v>
      </c>
      <c r="J746" s="3">
        <v>0</v>
      </c>
      <c r="K746" s="3">
        <v>35.659999999999997</v>
      </c>
      <c r="L746" s="3">
        <v>0</v>
      </c>
      <c r="M746" s="3">
        <v>0</v>
      </c>
      <c r="N746" s="3">
        <v>0</v>
      </c>
      <c r="O746" s="3">
        <v>4.6357999999999997</v>
      </c>
      <c r="P746" s="3">
        <v>40.2958</v>
      </c>
      <c r="Q746">
        <v>3</v>
      </c>
    </row>
    <row r="747" spans="1:17" x14ac:dyDescent="0.25">
      <c r="A747" t="s">
        <v>87</v>
      </c>
      <c r="B747" t="s">
        <v>125</v>
      </c>
      <c r="C747" t="s">
        <v>1</v>
      </c>
      <c r="D747" t="s">
        <v>0</v>
      </c>
      <c r="E747">
        <v>33941</v>
      </c>
      <c r="F747" t="s">
        <v>418</v>
      </c>
      <c r="G747" t="s">
        <v>419</v>
      </c>
      <c r="H747" s="3">
        <v>2.82</v>
      </c>
      <c r="I747" s="3">
        <v>0</v>
      </c>
      <c r="J747" s="3">
        <v>0</v>
      </c>
      <c r="K747" s="3">
        <v>29.36</v>
      </c>
      <c r="L747" s="3">
        <v>0</v>
      </c>
      <c r="M747" s="3">
        <v>0</v>
      </c>
      <c r="N747" s="3">
        <v>0</v>
      </c>
      <c r="O747" s="3">
        <v>3.8168000000000002</v>
      </c>
      <c r="P747" s="3">
        <v>35.9968</v>
      </c>
      <c r="Q747">
        <v>3</v>
      </c>
    </row>
    <row r="748" spans="1:17" x14ac:dyDescent="0.25">
      <c r="A748" t="s">
        <v>87</v>
      </c>
      <c r="B748" t="s">
        <v>125</v>
      </c>
      <c r="C748" t="s">
        <v>1</v>
      </c>
      <c r="D748" t="s">
        <v>0</v>
      </c>
      <c r="E748">
        <v>33858</v>
      </c>
      <c r="F748" t="s">
        <v>418</v>
      </c>
      <c r="G748" t="s">
        <v>419</v>
      </c>
      <c r="H748" s="3">
        <v>5.7299999999999995</v>
      </c>
      <c r="I748" s="3">
        <v>0</v>
      </c>
      <c r="J748" s="3">
        <v>0</v>
      </c>
      <c r="K748" s="3">
        <v>48.91</v>
      </c>
      <c r="L748" s="3">
        <v>0</v>
      </c>
      <c r="M748" s="3">
        <v>0</v>
      </c>
      <c r="N748" s="3">
        <v>0</v>
      </c>
      <c r="O748" s="3">
        <v>6.3582999999999998</v>
      </c>
      <c r="P748" s="3">
        <v>60.998299999999993</v>
      </c>
      <c r="Q748">
        <v>3</v>
      </c>
    </row>
    <row r="749" spans="1:17" x14ac:dyDescent="0.25">
      <c r="A749" t="s">
        <v>87</v>
      </c>
      <c r="B749" t="s">
        <v>421</v>
      </c>
      <c r="C749" t="s">
        <v>1</v>
      </c>
      <c r="D749" t="s">
        <v>0</v>
      </c>
      <c r="E749">
        <v>65188</v>
      </c>
      <c r="F749" t="s">
        <v>440</v>
      </c>
      <c r="G749" t="s">
        <v>441</v>
      </c>
      <c r="H749" s="3">
        <v>3.95</v>
      </c>
      <c r="I749" s="3">
        <v>0</v>
      </c>
      <c r="J749" s="3">
        <v>0</v>
      </c>
      <c r="K749" s="3">
        <v>32.89</v>
      </c>
      <c r="L749" s="3">
        <v>0</v>
      </c>
      <c r="M749" s="3">
        <v>0</v>
      </c>
      <c r="N749" s="3">
        <v>0</v>
      </c>
      <c r="O749" s="3">
        <v>4.2757000000000005</v>
      </c>
      <c r="P749" s="3">
        <v>41.115700000000004</v>
      </c>
      <c r="Q749">
        <v>3</v>
      </c>
    </row>
    <row r="750" spans="1:17" x14ac:dyDescent="0.25">
      <c r="A750" t="s">
        <v>87</v>
      </c>
      <c r="B750" t="s">
        <v>421</v>
      </c>
      <c r="C750" t="s">
        <v>1</v>
      </c>
      <c r="D750" t="s">
        <v>0</v>
      </c>
      <c r="E750">
        <v>34079</v>
      </c>
      <c r="F750" t="s">
        <v>418</v>
      </c>
      <c r="G750" t="s">
        <v>419</v>
      </c>
      <c r="H750" s="3">
        <v>8.1999999999999993</v>
      </c>
      <c r="I750" s="3">
        <v>0</v>
      </c>
      <c r="J750" s="3">
        <v>0</v>
      </c>
      <c r="K750" s="3">
        <v>69.92</v>
      </c>
      <c r="L750" s="3">
        <v>0</v>
      </c>
      <c r="M750" s="3">
        <v>0</v>
      </c>
      <c r="N750" s="3">
        <v>0</v>
      </c>
      <c r="O750" s="3">
        <v>9.0896000000000008</v>
      </c>
      <c r="P750" s="3">
        <v>87.209600000000009</v>
      </c>
      <c r="Q750">
        <v>3</v>
      </c>
    </row>
    <row r="751" spans="1:17" x14ac:dyDescent="0.25">
      <c r="A751" t="s">
        <v>87</v>
      </c>
      <c r="B751" t="s">
        <v>486</v>
      </c>
      <c r="C751" t="s">
        <v>1</v>
      </c>
      <c r="D751" t="s">
        <v>0</v>
      </c>
      <c r="E751">
        <v>178</v>
      </c>
      <c r="F751" t="s">
        <v>489</v>
      </c>
      <c r="G751" t="s">
        <v>490</v>
      </c>
      <c r="H751" s="3">
        <v>0</v>
      </c>
      <c r="I751" s="3">
        <v>0</v>
      </c>
      <c r="J751" s="3">
        <v>0</v>
      </c>
      <c r="K751" s="3">
        <v>51.15</v>
      </c>
      <c r="L751" s="3">
        <v>0</v>
      </c>
      <c r="M751" s="3">
        <v>0</v>
      </c>
      <c r="N751" s="3">
        <v>0</v>
      </c>
      <c r="O751" s="3">
        <v>6.6494999999999997</v>
      </c>
      <c r="P751" s="3">
        <v>57.799499999999995</v>
      </c>
      <c r="Q751">
        <v>3</v>
      </c>
    </row>
    <row r="752" spans="1:17" x14ac:dyDescent="0.25">
      <c r="A752" t="s">
        <v>87</v>
      </c>
      <c r="B752" t="s">
        <v>486</v>
      </c>
      <c r="C752" t="s">
        <v>1</v>
      </c>
      <c r="D752" t="s">
        <v>0</v>
      </c>
      <c r="E752">
        <v>334</v>
      </c>
      <c r="F752" t="s">
        <v>487</v>
      </c>
      <c r="G752" t="s">
        <v>488</v>
      </c>
      <c r="H752" s="3">
        <v>0</v>
      </c>
      <c r="I752" s="3">
        <v>0</v>
      </c>
      <c r="J752" s="3">
        <v>0</v>
      </c>
      <c r="K752" s="3">
        <v>28.32</v>
      </c>
      <c r="L752" s="3">
        <v>0</v>
      </c>
      <c r="M752" s="3">
        <v>0</v>
      </c>
      <c r="N752" s="3">
        <v>0</v>
      </c>
      <c r="O752" s="3">
        <v>3.6816</v>
      </c>
      <c r="P752" s="3">
        <v>32.001600000000003</v>
      </c>
      <c r="Q752">
        <v>3</v>
      </c>
    </row>
    <row r="753" spans="1:17" x14ac:dyDescent="0.25">
      <c r="A753" t="s">
        <v>87</v>
      </c>
      <c r="B753" t="s">
        <v>119</v>
      </c>
      <c r="C753" t="s">
        <v>1</v>
      </c>
      <c r="D753" t="s">
        <v>0</v>
      </c>
      <c r="E753">
        <v>35</v>
      </c>
      <c r="F753" t="s">
        <v>475</v>
      </c>
      <c r="G753" t="s">
        <v>476</v>
      </c>
      <c r="H753" s="3">
        <v>0</v>
      </c>
      <c r="I753" s="3">
        <v>0</v>
      </c>
      <c r="J753" s="3">
        <v>0</v>
      </c>
      <c r="K753" s="3">
        <v>28.08</v>
      </c>
      <c r="L753" s="3">
        <v>0</v>
      </c>
      <c r="M753" s="3">
        <v>0</v>
      </c>
      <c r="N753" s="3">
        <v>0</v>
      </c>
      <c r="O753" s="3">
        <v>3.6503999999999999</v>
      </c>
      <c r="P753" s="3">
        <v>31.730399999999999</v>
      </c>
      <c r="Q753">
        <v>3</v>
      </c>
    </row>
    <row r="754" spans="1:17" x14ac:dyDescent="0.25">
      <c r="A754" t="s">
        <v>87</v>
      </c>
      <c r="B754" t="s">
        <v>119</v>
      </c>
      <c r="C754" t="s">
        <v>1</v>
      </c>
      <c r="D754" t="s">
        <v>0</v>
      </c>
      <c r="E754">
        <v>25</v>
      </c>
      <c r="F754" t="s">
        <v>475</v>
      </c>
      <c r="G754" t="s">
        <v>476</v>
      </c>
      <c r="H754" s="3">
        <v>0</v>
      </c>
      <c r="I754" s="3">
        <v>0</v>
      </c>
      <c r="J754" s="3">
        <v>0</v>
      </c>
      <c r="K754" s="3">
        <v>56.26</v>
      </c>
      <c r="L754" s="3">
        <v>0</v>
      </c>
      <c r="M754" s="3">
        <v>0</v>
      </c>
      <c r="N754" s="3">
        <v>0</v>
      </c>
      <c r="O754" s="3">
        <v>7.3137999999999996</v>
      </c>
      <c r="P754" s="3">
        <v>63.573799999999999</v>
      </c>
      <c r="Q754">
        <v>3</v>
      </c>
    </row>
    <row r="755" spans="1:17" x14ac:dyDescent="0.25">
      <c r="A755" t="s">
        <v>87</v>
      </c>
      <c r="B755" t="s">
        <v>119</v>
      </c>
      <c r="C755" t="s">
        <v>1</v>
      </c>
      <c r="D755" t="s">
        <v>0</v>
      </c>
      <c r="E755">
        <v>34</v>
      </c>
      <c r="F755" t="s">
        <v>475</v>
      </c>
      <c r="G755" t="s">
        <v>476</v>
      </c>
      <c r="H755" s="3">
        <v>0</v>
      </c>
      <c r="I755" s="3">
        <v>0</v>
      </c>
      <c r="J755" s="3">
        <v>0</v>
      </c>
      <c r="K755" s="3">
        <v>56.26</v>
      </c>
      <c r="L755" s="3">
        <v>0</v>
      </c>
      <c r="M755" s="3">
        <v>0</v>
      </c>
      <c r="N755" s="3">
        <v>0</v>
      </c>
      <c r="O755" s="3">
        <v>7.3137999999999996</v>
      </c>
      <c r="P755" s="3">
        <v>63.573799999999999</v>
      </c>
      <c r="Q755">
        <v>3</v>
      </c>
    </row>
    <row r="756" spans="1:17" x14ac:dyDescent="0.25">
      <c r="A756" t="s">
        <v>87</v>
      </c>
      <c r="B756" t="s">
        <v>119</v>
      </c>
      <c r="C756" t="s">
        <v>1</v>
      </c>
      <c r="D756" t="s">
        <v>0</v>
      </c>
      <c r="E756">
        <v>157336</v>
      </c>
      <c r="F756" t="s">
        <v>425</v>
      </c>
      <c r="G756" t="s">
        <v>426</v>
      </c>
      <c r="H756" s="3">
        <v>2.54</v>
      </c>
      <c r="I756" s="3">
        <v>0</v>
      </c>
      <c r="J756" s="3">
        <v>0</v>
      </c>
      <c r="K756" s="3">
        <v>25.63</v>
      </c>
      <c r="L756" s="3">
        <v>0</v>
      </c>
      <c r="M756" s="3">
        <v>0</v>
      </c>
      <c r="N756" s="3">
        <v>0</v>
      </c>
      <c r="O756" s="3">
        <v>3.3319000000000001</v>
      </c>
      <c r="P756" s="3">
        <v>31.501899999999999</v>
      </c>
      <c r="Q756">
        <v>3</v>
      </c>
    </row>
    <row r="757" spans="1:17" x14ac:dyDescent="0.25">
      <c r="A757" t="s">
        <v>87</v>
      </c>
      <c r="B757" t="s">
        <v>119</v>
      </c>
      <c r="C757" t="s">
        <v>1</v>
      </c>
      <c r="D757" t="s">
        <v>0</v>
      </c>
      <c r="E757">
        <v>157388</v>
      </c>
      <c r="F757" t="s">
        <v>425</v>
      </c>
      <c r="G757" t="s">
        <v>426</v>
      </c>
      <c r="H757" s="3">
        <v>3.39</v>
      </c>
      <c r="I757" s="3">
        <v>0</v>
      </c>
      <c r="J757" s="3">
        <v>0</v>
      </c>
      <c r="K757" s="3">
        <v>28.87</v>
      </c>
      <c r="L757" s="3">
        <v>0</v>
      </c>
      <c r="M757" s="3">
        <v>0</v>
      </c>
      <c r="N757" s="3">
        <v>0</v>
      </c>
      <c r="O757" s="3">
        <v>3.7531000000000003</v>
      </c>
      <c r="P757" s="3">
        <v>36.013100000000001</v>
      </c>
      <c r="Q757">
        <v>3</v>
      </c>
    </row>
    <row r="758" spans="1:17" x14ac:dyDescent="0.25">
      <c r="A758" t="s">
        <v>87</v>
      </c>
      <c r="B758" t="s">
        <v>119</v>
      </c>
      <c r="C758" t="s">
        <v>1</v>
      </c>
      <c r="D758" t="s">
        <v>0</v>
      </c>
      <c r="E758">
        <v>34368</v>
      </c>
      <c r="F758" t="s">
        <v>418</v>
      </c>
      <c r="G758" t="s">
        <v>419</v>
      </c>
      <c r="H758" s="3">
        <v>1.79</v>
      </c>
      <c r="I758" s="3">
        <v>0</v>
      </c>
      <c r="J758" s="3">
        <v>0</v>
      </c>
      <c r="K758" s="3">
        <v>15.23</v>
      </c>
      <c r="L758" s="3">
        <v>0</v>
      </c>
      <c r="M758" s="3">
        <v>0</v>
      </c>
      <c r="N758" s="3">
        <v>0</v>
      </c>
      <c r="O758" s="3">
        <v>1.9799000000000002</v>
      </c>
      <c r="P758" s="3">
        <v>18.9999</v>
      </c>
      <c r="Q758">
        <v>3</v>
      </c>
    </row>
    <row r="759" spans="1:17" x14ac:dyDescent="0.25">
      <c r="A759" t="s">
        <v>87</v>
      </c>
      <c r="B759" t="s">
        <v>443</v>
      </c>
      <c r="C759" t="s">
        <v>1</v>
      </c>
      <c r="D759" t="s">
        <v>0</v>
      </c>
      <c r="E759">
        <v>1177</v>
      </c>
      <c r="F759" t="s">
        <v>444</v>
      </c>
      <c r="G759" t="s">
        <v>445</v>
      </c>
      <c r="H759" s="3">
        <v>3.85</v>
      </c>
      <c r="I759" s="3">
        <v>0</v>
      </c>
      <c r="J759" s="3">
        <v>0</v>
      </c>
      <c r="K759" s="3">
        <v>32.880000000000003</v>
      </c>
      <c r="L759" s="3">
        <v>0</v>
      </c>
      <c r="M759" s="3">
        <v>0</v>
      </c>
      <c r="N759" s="3">
        <v>0</v>
      </c>
      <c r="O759" s="3">
        <v>4.2744000000000009</v>
      </c>
      <c r="P759" s="3">
        <v>41.004400000000004</v>
      </c>
      <c r="Q759">
        <v>3</v>
      </c>
    </row>
    <row r="760" spans="1:17" x14ac:dyDescent="0.25">
      <c r="A760" t="s">
        <v>87</v>
      </c>
      <c r="B760" t="s">
        <v>109</v>
      </c>
      <c r="C760" t="s">
        <v>1</v>
      </c>
      <c r="D760" t="s">
        <v>0</v>
      </c>
      <c r="E760">
        <v>74254</v>
      </c>
      <c r="F760" t="s">
        <v>473</v>
      </c>
      <c r="G760" t="s">
        <v>474</v>
      </c>
      <c r="H760" s="3">
        <v>0</v>
      </c>
      <c r="I760" s="3">
        <v>0</v>
      </c>
      <c r="J760" s="3">
        <v>0</v>
      </c>
      <c r="K760" s="3">
        <v>52.97</v>
      </c>
      <c r="L760" s="3">
        <v>0</v>
      </c>
      <c r="M760" s="3">
        <v>0</v>
      </c>
      <c r="N760" s="3">
        <v>0</v>
      </c>
      <c r="O760" s="3">
        <v>6.8860999999999999</v>
      </c>
      <c r="P760" s="3">
        <v>59.856099999999998</v>
      </c>
      <c r="Q760">
        <v>3</v>
      </c>
    </row>
    <row r="761" spans="1:17" x14ac:dyDescent="0.25">
      <c r="A761" t="s">
        <v>87</v>
      </c>
      <c r="B761" t="s">
        <v>109</v>
      </c>
      <c r="C761" t="s">
        <v>1</v>
      </c>
      <c r="D761" t="s">
        <v>0</v>
      </c>
      <c r="E761">
        <v>157472</v>
      </c>
      <c r="F761" t="s">
        <v>425</v>
      </c>
      <c r="G761" t="s">
        <v>426</v>
      </c>
      <c r="H761" s="3">
        <v>3.82</v>
      </c>
      <c r="I761" s="3">
        <v>0</v>
      </c>
      <c r="J761" s="3">
        <v>0</v>
      </c>
      <c r="K761" s="3">
        <v>35.97</v>
      </c>
      <c r="L761" s="3">
        <v>0</v>
      </c>
      <c r="M761" s="3">
        <v>0</v>
      </c>
      <c r="N761" s="3">
        <v>0</v>
      </c>
      <c r="O761" s="3">
        <v>4.6760999999999999</v>
      </c>
      <c r="P761" s="3">
        <v>44.466099999999997</v>
      </c>
      <c r="Q761">
        <v>3</v>
      </c>
    </row>
    <row r="762" spans="1:17" x14ac:dyDescent="0.25">
      <c r="A762" t="s">
        <v>87</v>
      </c>
      <c r="B762" t="s">
        <v>109</v>
      </c>
      <c r="C762" t="s">
        <v>1</v>
      </c>
      <c r="D762" t="s">
        <v>0</v>
      </c>
      <c r="E762">
        <v>34621</v>
      </c>
      <c r="F762" t="s">
        <v>418</v>
      </c>
      <c r="G762" t="s">
        <v>419</v>
      </c>
      <c r="H762" s="3">
        <v>7.68</v>
      </c>
      <c r="I762" s="3">
        <v>0</v>
      </c>
      <c r="J762" s="3">
        <v>0</v>
      </c>
      <c r="K762" s="3">
        <v>65.98</v>
      </c>
      <c r="L762" s="3">
        <v>0</v>
      </c>
      <c r="M762" s="3">
        <v>0</v>
      </c>
      <c r="N762" s="3">
        <v>0</v>
      </c>
      <c r="O762" s="3">
        <v>8.5774000000000008</v>
      </c>
      <c r="P762" s="3">
        <v>82.237399999999994</v>
      </c>
      <c r="Q762">
        <v>3</v>
      </c>
    </row>
    <row r="763" spans="1:17" x14ac:dyDescent="0.25">
      <c r="A763" t="s">
        <v>87</v>
      </c>
      <c r="B763" t="s">
        <v>109</v>
      </c>
      <c r="C763" t="s">
        <v>1</v>
      </c>
      <c r="D763" t="s">
        <v>0</v>
      </c>
      <c r="E763">
        <v>34728</v>
      </c>
      <c r="F763" t="s">
        <v>418</v>
      </c>
      <c r="G763" t="s">
        <v>419</v>
      </c>
      <c r="H763" s="3">
        <v>10.54</v>
      </c>
      <c r="I763" s="3">
        <v>0</v>
      </c>
      <c r="J763" s="3">
        <v>0</v>
      </c>
      <c r="K763" s="3">
        <v>90.52</v>
      </c>
      <c r="L763" s="3">
        <v>0</v>
      </c>
      <c r="M763" s="3">
        <v>0</v>
      </c>
      <c r="N763" s="3">
        <v>0</v>
      </c>
      <c r="O763" s="3">
        <v>11.7676</v>
      </c>
      <c r="P763" s="3">
        <v>112.8276</v>
      </c>
      <c r="Q763">
        <v>3</v>
      </c>
    </row>
    <row r="764" spans="1:17" x14ac:dyDescent="0.25">
      <c r="A764" t="s">
        <v>87</v>
      </c>
      <c r="B764" t="s">
        <v>117</v>
      </c>
      <c r="C764" t="s">
        <v>1</v>
      </c>
      <c r="D764" t="s">
        <v>0</v>
      </c>
      <c r="E764">
        <v>38</v>
      </c>
      <c r="F764" t="s">
        <v>475</v>
      </c>
      <c r="G764" t="s">
        <v>476</v>
      </c>
      <c r="H764" s="3">
        <v>0</v>
      </c>
      <c r="I764" s="3">
        <v>0</v>
      </c>
      <c r="J764" s="3">
        <v>0</v>
      </c>
      <c r="K764" s="3">
        <v>56.26</v>
      </c>
      <c r="L764" s="3">
        <v>0</v>
      </c>
      <c r="M764" s="3">
        <v>0</v>
      </c>
      <c r="N764" s="3">
        <v>0</v>
      </c>
      <c r="O764" s="3">
        <v>7.3137999999999996</v>
      </c>
      <c r="P764" s="3">
        <v>63.573799999999999</v>
      </c>
      <c r="Q764">
        <v>3</v>
      </c>
    </row>
    <row r="765" spans="1:17" x14ac:dyDescent="0.25">
      <c r="A765" t="s">
        <v>87</v>
      </c>
      <c r="B765" t="s">
        <v>117</v>
      </c>
      <c r="C765" t="s">
        <v>1</v>
      </c>
      <c r="D765" t="s">
        <v>0</v>
      </c>
      <c r="E765">
        <v>37</v>
      </c>
      <c r="F765" t="s">
        <v>475</v>
      </c>
      <c r="G765" t="s">
        <v>476</v>
      </c>
      <c r="H765" s="3">
        <v>0</v>
      </c>
      <c r="I765" s="3">
        <v>0</v>
      </c>
      <c r="J765" s="3">
        <v>0</v>
      </c>
      <c r="K765" s="3">
        <v>56.26</v>
      </c>
      <c r="L765" s="3">
        <v>0</v>
      </c>
      <c r="M765" s="3">
        <v>0</v>
      </c>
      <c r="N765" s="3">
        <v>0</v>
      </c>
      <c r="O765" s="3">
        <v>7.3137999999999996</v>
      </c>
      <c r="P765" s="3">
        <v>63.573799999999999</v>
      </c>
      <c r="Q765">
        <v>3</v>
      </c>
    </row>
    <row r="766" spans="1:17" x14ac:dyDescent="0.25">
      <c r="A766" t="s">
        <v>87</v>
      </c>
      <c r="B766" t="s">
        <v>117</v>
      </c>
      <c r="C766" t="s">
        <v>1</v>
      </c>
      <c r="D766" t="s">
        <v>0</v>
      </c>
      <c r="E766">
        <v>40</v>
      </c>
      <c r="F766" t="s">
        <v>475</v>
      </c>
      <c r="G766" t="s">
        <v>476</v>
      </c>
      <c r="H766" s="3">
        <v>0</v>
      </c>
      <c r="I766" s="3">
        <v>0</v>
      </c>
      <c r="J766" s="3">
        <v>0</v>
      </c>
      <c r="K766" s="3">
        <v>56.16</v>
      </c>
      <c r="L766" s="3">
        <v>0</v>
      </c>
      <c r="M766" s="3">
        <v>0</v>
      </c>
      <c r="N766" s="3">
        <v>0</v>
      </c>
      <c r="O766" s="3">
        <v>7.3007999999999997</v>
      </c>
      <c r="P766" s="3">
        <v>63.460799999999999</v>
      </c>
      <c r="Q766">
        <v>3</v>
      </c>
    </row>
    <row r="767" spans="1:17" x14ac:dyDescent="0.25">
      <c r="A767" t="s">
        <v>87</v>
      </c>
      <c r="B767" t="s">
        <v>117</v>
      </c>
      <c r="C767" t="s">
        <v>1</v>
      </c>
      <c r="D767" t="s">
        <v>0</v>
      </c>
      <c r="E767">
        <v>39</v>
      </c>
      <c r="F767" t="s">
        <v>475</v>
      </c>
      <c r="G767" t="s">
        <v>476</v>
      </c>
      <c r="H767" s="3">
        <v>0</v>
      </c>
      <c r="I767" s="3">
        <v>0</v>
      </c>
      <c r="J767" s="3">
        <v>0</v>
      </c>
      <c r="K767" s="3">
        <v>46.05</v>
      </c>
      <c r="L767" s="3">
        <v>0</v>
      </c>
      <c r="M767" s="3">
        <v>0</v>
      </c>
      <c r="N767" s="3">
        <v>0</v>
      </c>
      <c r="O767" s="3">
        <v>5.9864999999999995</v>
      </c>
      <c r="P767" s="3">
        <v>52.036499999999997</v>
      </c>
      <c r="Q767">
        <v>3</v>
      </c>
    </row>
    <row r="768" spans="1:17" x14ac:dyDescent="0.25">
      <c r="A768" t="s">
        <v>87</v>
      </c>
      <c r="B768" t="s">
        <v>117</v>
      </c>
      <c r="C768" t="s">
        <v>1</v>
      </c>
      <c r="D768" t="s">
        <v>0</v>
      </c>
      <c r="E768">
        <v>6042342</v>
      </c>
      <c r="F768" t="s">
        <v>471</v>
      </c>
      <c r="G768" t="s">
        <v>472</v>
      </c>
      <c r="H768" s="3">
        <v>0</v>
      </c>
      <c r="I768" s="3">
        <v>0</v>
      </c>
      <c r="J768" s="3">
        <v>0</v>
      </c>
      <c r="K768" s="3">
        <v>152.12</v>
      </c>
      <c r="L768" s="3">
        <v>0</v>
      </c>
      <c r="M768" s="3">
        <v>0</v>
      </c>
      <c r="N768" s="3">
        <v>0</v>
      </c>
      <c r="O768" s="3">
        <v>19.775600000000001</v>
      </c>
      <c r="P768" s="3">
        <v>171.8956</v>
      </c>
      <c r="Q768">
        <v>3</v>
      </c>
    </row>
    <row r="769" spans="1:17" x14ac:dyDescent="0.25">
      <c r="A769" t="s">
        <v>87</v>
      </c>
      <c r="B769" t="s">
        <v>117</v>
      </c>
      <c r="C769" t="s">
        <v>1</v>
      </c>
      <c r="D769" t="s">
        <v>0</v>
      </c>
      <c r="E769">
        <v>10164</v>
      </c>
      <c r="F769" t="s">
        <v>448</v>
      </c>
      <c r="G769" t="s">
        <v>449</v>
      </c>
      <c r="H769" s="3">
        <v>7.4700000000000006</v>
      </c>
      <c r="I769" s="3">
        <v>0</v>
      </c>
      <c r="J769" s="3">
        <v>0</v>
      </c>
      <c r="K769" s="3">
        <v>64.19</v>
      </c>
      <c r="L769" s="3">
        <v>0</v>
      </c>
      <c r="M769" s="3">
        <v>0</v>
      </c>
      <c r="N769" s="3">
        <v>0</v>
      </c>
      <c r="O769" s="3">
        <v>8.3446999999999996</v>
      </c>
      <c r="P769" s="3">
        <v>80.0047</v>
      </c>
      <c r="Q769">
        <v>3</v>
      </c>
    </row>
    <row r="770" spans="1:17" x14ac:dyDescent="0.25">
      <c r="A770" t="s">
        <v>87</v>
      </c>
      <c r="B770" t="s">
        <v>483</v>
      </c>
      <c r="C770" t="s">
        <v>1</v>
      </c>
      <c r="D770" t="s">
        <v>0</v>
      </c>
      <c r="E770">
        <v>318</v>
      </c>
      <c r="F770" t="s">
        <v>484</v>
      </c>
      <c r="G770" t="s">
        <v>485</v>
      </c>
      <c r="H770" s="3">
        <v>0</v>
      </c>
      <c r="I770" s="3">
        <v>0</v>
      </c>
      <c r="J770" s="3">
        <v>0</v>
      </c>
      <c r="K770" s="3">
        <v>35</v>
      </c>
      <c r="L770" s="3">
        <v>0</v>
      </c>
      <c r="M770" s="3">
        <v>0</v>
      </c>
      <c r="N770" s="3">
        <v>0</v>
      </c>
      <c r="O770" s="3">
        <v>4.55</v>
      </c>
      <c r="P770" s="3">
        <v>39.549999999999997</v>
      </c>
      <c r="Q770">
        <v>3</v>
      </c>
    </row>
    <row r="771" spans="1:17" x14ac:dyDescent="0.25">
      <c r="A771" t="s">
        <v>87</v>
      </c>
      <c r="B771" t="s">
        <v>102</v>
      </c>
      <c r="C771" t="s">
        <v>1</v>
      </c>
      <c r="D771" t="s">
        <v>0</v>
      </c>
      <c r="E771">
        <v>725460</v>
      </c>
      <c r="F771" t="s">
        <v>127</v>
      </c>
      <c r="G771" t="s">
        <v>128</v>
      </c>
      <c r="H771" s="3">
        <v>0</v>
      </c>
      <c r="I771" s="3">
        <v>0</v>
      </c>
      <c r="J771" s="3">
        <v>0</v>
      </c>
      <c r="K771" s="3">
        <v>91.68</v>
      </c>
      <c r="L771" s="3">
        <v>0</v>
      </c>
      <c r="M771" s="3">
        <v>0</v>
      </c>
      <c r="N771" s="3">
        <v>0</v>
      </c>
      <c r="O771" s="3">
        <v>11.918400000000002</v>
      </c>
      <c r="P771" s="3">
        <v>103.59840000000001</v>
      </c>
      <c r="Q771">
        <v>3</v>
      </c>
    </row>
    <row r="772" spans="1:17" x14ac:dyDescent="0.25">
      <c r="A772" t="s">
        <v>87</v>
      </c>
      <c r="B772" t="s">
        <v>102</v>
      </c>
      <c r="C772" t="s">
        <v>1</v>
      </c>
      <c r="D772" t="s">
        <v>0</v>
      </c>
      <c r="E772">
        <v>21709</v>
      </c>
      <c r="F772" t="s">
        <v>469</v>
      </c>
      <c r="G772" t="s">
        <v>470</v>
      </c>
      <c r="H772" s="3">
        <v>0</v>
      </c>
      <c r="I772" s="3">
        <v>0</v>
      </c>
      <c r="J772" s="3">
        <v>0</v>
      </c>
      <c r="K772" s="3">
        <v>66</v>
      </c>
      <c r="L772" s="3">
        <v>0</v>
      </c>
      <c r="M772" s="3">
        <v>0</v>
      </c>
      <c r="N772" s="3">
        <v>0</v>
      </c>
      <c r="O772" s="3">
        <v>8.58</v>
      </c>
      <c r="P772" s="3">
        <v>74.58</v>
      </c>
      <c r="Q772">
        <v>3</v>
      </c>
    </row>
    <row r="773" spans="1:17" x14ac:dyDescent="0.25">
      <c r="A773" t="s">
        <v>87</v>
      </c>
      <c r="B773" t="s">
        <v>102</v>
      </c>
      <c r="C773" t="s">
        <v>1</v>
      </c>
      <c r="D773" t="s">
        <v>0</v>
      </c>
      <c r="E773">
        <v>17342</v>
      </c>
      <c r="F773" t="s">
        <v>467</v>
      </c>
      <c r="G773" t="s">
        <v>468</v>
      </c>
      <c r="H773" s="3">
        <v>0</v>
      </c>
      <c r="I773" s="3">
        <v>0</v>
      </c>
      <c r="J773" s="3">
        <v>0</v>
      </c>
      <c r="K773" s="3">
        <v>42.48</v>
      </c>
      <c r="L773" s="3">
        <v>0</v>
      </c>
      <c r="M773" s="3">
        <v>0</v>
      </c>
      <c r="N773" s="3">
        <v>0</v>
      </c>
      <c r="O773" s="3">
        <v>5.5224000000000002</v>
      </c>
      <c r="P773" s="3">
        <v>48.002399999999994</v>
      </c>
      <c r="Q773">
        <v>3</v>
      </c>
    </row>
    <row r="774" spans="1:17" x14ac:dyDescent="0.25">
      <c r="A774" t="s">
        <v>87</v>
      </c>
      <c r="B774" t="s">
        <v>102</v>
      </c>
      <c r="C774" t="s">
        <v>1</v>
      </c>
      <c r="D774" t="s">
        <v>0</v>
      </c>
      <c r="E774">
        <v>11844</v>
      </c>
      <c r="F774" t="s">
        <v>453</v>
      </c>
      <c r="G774" t="s">
        <v>454</v>
      </c>
      <c r="H774" s="3">
        <v>0</v>
      </c>
      <c r="I774" s="3">
        <v>0</v>
      </c>
      <c r="J774" s="3">
        <v>0</v>
      </c>
      <c r="K774" s="3">
        <v>40.49</v>
      </c>
      <c r="L774" s="3">
        <v>0</v>
      </c>
      <c r="M774" s="3">
        <v>0</v>
      </c>
      <c r="N774" s="3">
        <v>0</v>
      </c>
      <c r="O774" s="3">
        <v>5.2637</v>
      </c>
      <c r="P774" s="3">
        <v>45.753700000000002</v>
      </c>
      <c r="Q774">
        <v>3</v>
      </c>
    </row>
    <row r="775" spans="1:17" x14ac:dyDescent="0.25">
      <c r="A775" t="s">
        <v>87</v>
      </c>
      <c r="B775" t="s">
        <v>102</v>
      </c>
      <c r="C775" t="s">
        <v>1</v>
      </c>
      <c r="D775" t="s">
        <v>0</v>
      </c>
      <c r="E775">
        <v>768</v>
      </c>
      <c r="F775" t="s">
        <v>453</v>
      </c>
      <c r="G775" t="s">
        <v>454</v>
      </c>
      <c r="H775" s="3">
        <v>0</v>
      </c>
      <c r="I775" s="3">
        <v>0</v>
      </c>
      <c r="J775" s="3">
        <v>0</v>
      </c>
      <c r="K775" s="3">
        <v>30.6</v>
      </c>
      <c r="L775" s="3">
        <v>0</v>
      </c>
      <c r="M775" s="3">
        <v>0</v>
      </c>
      <c r="N775" s="3">
        <v>0</v>
      </c>
      <c r="O775" s="3">
        <v>3.9780000000000002</v>
      </c>
      <c r="P775" s="3">
        <v>34.578000000000003</v>
      </c>
      <c r="Q775">
        <v>3</v>
      </c>
    </row>
    <row r="776" spans="1:17" x14ac:dyDescent="0.25">
      <c r="A776" t="s">
        <v>87</v>
      </c>
      <c r="B776" t="s">
        <v>102</v>
      </c>
      <c r="C776" t="s">
        <v>1</v>
      </c>
      <c r="D776" t="s">
        <v>0</v>
      </c>
      <c r="E776">
        <v>35261</v>
      </c>
      <c r="F776" t="s">
        <v>418</v>
      </c>
      <c r="G776" t="s">
        <v>419</v>
      </c>
      <c r="H776" s="3">
        <v>10</v>
      </c>
      <c r="I776" s="3">
        <v>0</v>
      </c>
      <c r="J776" s="3">
        <v>0</v>
      </c>
      <c r="K776" s="3">
        <v>85.84</v>
      </c>
      <c r="L776" s="3">
        <v>0</v>
      </c>
      <c r="M776" s="3">
        <v>0</v>
      </c>
      <c r="N776" s="3">
        <v>0</v>
      </c>
      <c r="O776" s="3">
        <v>11.1592</v>
      </c>
      <c r="P776" s="3">
        <v>106.9992</v>
      </c>
      <c r="Q776">
        <v>3</v>
      </c>
    </row>
    <row r="777" spans="1:17" x14ac:dyDescent="0.25">
      <c r="A777" t="s">
        <v>87</v>
      </c>
      <c r="B777" t="s">
        <v>102</v>
      </c>
      <c r="C777" t="s">
        <v>1</v>
      </c>
      <c r="D777" t="s">
        <v>0</v>
      </c>
      <c r="E777">
        <v>35137</v>
      </c>
      <c r="F777" t="s">
        <v>418</v>
      </c>
      <c r="G777" t="s">
        <v>419</v>
      </c>
      <c r="H777" s="3">
        <v>1.78</v>
      </c>
      <c r="I777" s="3">
        <v>0</v>
      </c>
      <c r="J777" s="3">
        <v>0</v>
      </c>
      <c r="K777" s="3">
        <v>15.24</v>
      </c>
      <c r="L777" s="3">
        <v>0</v>
      </c>
      <c r="M777" s="3">
        <v>0</v>
      </c>
      <c r="N777" s="3">
        <v>0</v>
      </c>
      <c r="O777" s="3">
        <v>1.9812000000000001</v>
      </c>
      <c r="P777" s="3">
        <v>19.001200000000001</v>
      </c>
      <c r="Q777">
        <v>3</v>
      </c>
    </row>
    <row r="778" spans="1:17" x14ac:dyDescent="0.25">
      <c r="A778" t="s">
        <v>87</v>
      </c>
      <c r="B778" t="s">
        <v>481</v>
      </c>
      <c r="C778" t="s">
        <v>1</v>
      </c>
      <c r="D778" t="s">
        <v>0</v>
      </c>
      <c r="E778">
        <v>6081</v>
      </c>
      <c r="F778" t="s">
        <v>479</v>
      </c>
      <c r="G778" t="s">
        <v>480</v>
      </c>
      <c r="H778" s="3">
        <v>0</v>
      </c>
      <c r="I778" s="3">
        <v>0</v>
      </c>
      <c r="J778" s="3">
        <v>0</v>
      </c>
      <c r="K778" s="3">
        <v>345.13</v>
      </c>
      <c r="L778" s="3">
        <v>0</v>
      </c>
      <c r="M778" s="3">
        <v>0</v>
      </c>
      <c r="N778" s="3">
        <v>0</v>
      </c>
      <c r="O778" s="3">
        <v>44.866900000000001</v>
      </c>
      <c r="P778" s="3">
        <v>389.99689999999998</v>
      </c>
      <c r="Q778">
        <v>3</v>
      </c>
    </row>
    <row r="779" spans="1:17" x14ac:dyDescent="0.25">
      <c r="A779" t="s">
        <v>87</v>
      </c>
      <c r="B779" t="s">
        <v>110</v>
      </c>
      <c r="C779" t="s">
        <v>1</v>
      </c>
      <c r="D779" t="s">
        <v>0</v>
      </c>
      <c r="E779">
        <v>122</v>
      </c>
      <c r="F779" t="s">
        <v>479</v>
      </c>
      <c r="G779" t="s">
        <v>480</v>
      </c>
      <c r="H779" s="3">
        <v>0</v>
      </c>
      <c r="I779" s="3">
        <v>0</v>
      </c>
      <c r="J779" s="3">
        <v>0</v>
      </c>
      <c r="K779" s="3">
        <v>194.7</v>
      </c>
      <c r="L779" s="3">
        <v>0</v>
      </c>
      <c r="M779" s="3">
        <v>0</v>
      </c>
      <c r="N779" s="3">
        <v>0</v>
      </c>
      <c r="O779" s="3">
        <v>25.311</v>
      </c>
      <c r="P779" s="3">
        <v>220.011</v>
      </c>
      <c r="Q779">
        <v>3</v>
      </c>
    </row>
    <row r="780" spans="1:17" x14ac:dyDescent="0.25">
      <c r="A780" t="s">
        <v>87</v>
      </c>
      <c r="B780" t="s">
        <v>110</v>
      </c>
      <c r="C780" t="s">
        <v>1</v>
      </c>
      <c r="D780" t="s">
        <v>0</v>
      </c>
      <c r="E780">
        <v>73</v>
      </c>
      <c r="F780" t="s">
        <v>475</v>
      </c>
      <c r="G780" t="s">
        <v>476</v>
      </c>
      <c r="H780" s="3">
        <v>0</v>
      </c>
      <c r="I780" s="3">
        <v>0</v>
      </c>
      <c r="J780" s="3">
        <v>0</v>
      </c>
      <c r="K780" s="3">
        <v>277.14</v>
      </c>
      <c r="L780" s="3">
        <v>0</v>
      </c>
      <c r="M780" s="3">
        <v>0</v>
      </c>
      <c r="N780" s="3">
        <v>0</v>
      </c>
      <c r="O780" s="3">
        <v>36.028199999999998</v>
      </c>
      <c r="P780" s="3">
        <v>313.16819999999996</v>
      </c>
      <c r="Q780">
        <v>3</v>
      </c>
    </row>
    <row r="781" spans="1:17" x14ac:dyDescent="0.25">
      <c r="A781" t="s">
        <v>87</v>
      </c>
      <c r="B781" t="s">
        <v>110</v>
      </c>
      <c r="C781" t="s">
        <v>1</v>
      </c>
      <c r="D781" t="s">
        <v>0</v>
      </c>
      <c r="E781">
        <v>64</v>
      </c>
      <c r="F781" t="s">
        <v>475</v>
      </c>
      <c r="G781" t="s">
        <v>476</v>
      </c>
      <c r="H781" s="3">
        <v>0</v>
      </c>
      <c r="I781" s="3">
        <v>0</v>
      </c>
      <c r="J781" s="3">
        <v>0</v>
      </c>
      <c r="K781" s="3">
        <v>56.26</v>
      </c>
      <c r="L781" s="3">
        <v>0</v>
      </c>
      <c r="M781" s="3">
        <v>0</v>
      </c>
      <c r="N781" s="3">
        <v>0</v>
      </c>
      <c r="O781" s="3">
        <v>7.3137999999999996</v>
      </c>
      <c r="P781" s="3">
        <v>63.573799999999999</v>
      </c>
      <c r="Q781">
        <v>3</v>
      </c>
    </row>
    <row r="782" spans="1:17" x14ac:dyDescent="0.25">
      <c r="A782" t="s">
        <v>87</v>
      </c>
      <c r="B782" t="s">
        <v>110</v>
      </c>
      <c r="C782" t="s">
        <v>1</v>
      </c>
      <c r="D782" t="s">
        <v>0</v>
      </c>
      <c r="E782">
        <v>66</v>
      </c>
      <c r="F782" t="s">
        <v>475</v>
      </c>
      <c r="G782" t="s">
        <v>476</v>
      </c>
      <c r="H782" s="3">
        <v>0</v>
      </c>
      <c r="I782" s="3">
        <v>0</v>
      </c>
      <c r="J782" s="3">
        <v>0</v>
      </c>
      <c r="K782" s="3">
        <v>45.48</v>
      </c>
      <c r="L782" s="3">
        <v>0</v>
      </c>
      <c r="M782" s="3">
        <v>0</v>
      </c>
      <c r="N782" s="3">
        <v>0</v>
      </c>
      <c r="O782" s="3">
        <v>5.9123999999999999</v>
      </c>
      <c r="P782" s="3">
        <v>51.392399999999995</v>
      </c>
      <c r="Q782">
        <v>3</v>
      </c>
    </row>
    <row r="783" spans="1:17" x14ac:dyDescent="0.25">
      <c r="A783" t="s">
        <v>87</v>
      </c>
      <c r="B783" t="s">
        <v>110</v>
      </c>
      <c r="C783" t="s">
        <v>1</v>
      </c>
      <c r="D783" t="s">
        <v>0</v>
      </c>
      <c r="E783">
        <v>11919</v>
      </c>
      <c r="F783" t="s">
        <v>453</v>
      </c>
      <c r="G783" t="s">
        <v>454</v>
      </c>
      <c r="H783" s="3">
        <v>0</v>
      </c>
      <c r="I783" s="3">
        <v>0</v>
      </c>
      <c r="J783" s="3">
        <v>0</v>
      </c>
      <c r="K783" s="3">
        <v>53.55</v>
      </c>
      <c r="L783" s="3">
        <v>0</v>
      </c>
      <c r="M783" s="3">
        <v>0</v>
      </c>
      <c r="N783" s="3">
        <v>0</v>
      </c>
      <c r="O783" s="3">
        <v>6.9615</v>
      </c>
      <c r="P783" s="3">
        <v>60.511499999999998</v>
      </c>
      <c r="Q783">
        <v>3</v>
      </c>
    </row>
    <row r="784" spans="1:17" x14ac:dyDescent="0.25">
      <c r="A784" t="s">
        <v>87</v>
      </c>
      <c r="B784" t="s">
        <v>110</v>
      </c>
      <c r="C784" t="s">
        <v>1</v>
      </c>
      <c r="D784" t="s">
        <v>0</v>
      </c>
      <c r="E784">
        <v>157895</v>
      </c>
      <c r="F784" t="s">
        <v>425</v>
      </c>
      <c r="G784" t="s">
        <v>426</v>
      </c>
      <c r="H784" s="3">
        <v>3.74</v>
      </c>
      <c r="I784" s="3">
        <v>0</v>
      </c>
      <c r="J784" s="3">
        <v>0</v>
      </c>
      <c r="K784" s="3">
        <v>32.090000000000003</v>
      </c>
      <c r="L784" s="3">
        <v>0</v>
      </c>
      <c r="M784" s="3">
        <v>0</v>
      </c>
      <c r="N784" s="3">
        <v>0</v>
      </c>
      <c r="O784" s="3">
        <v>4.1717000000000004</v>
      </c>
      <c r="P784" s="3">
        <v>40.001700000000007</v>
      </c>
      <c r="Q784">
        <v>3</v>
      </c>
    </row>
    <row r="785" spans="1:17" x14ac:dyDescent="0.25">
      <c r="A785" t="s">
        <v>87</v>
      </c>
      <c r="B785" t="s">
        <v>110</v>
      </c>
      <c r="C785" t="s">
        <v>1</v>
      </c>
      <c r="D785" t="s">
        <v>0</v>
      </c>
      <c r="E785">
        <v>158004</v>
      </c>
      <c r="F785" t="s">
        <v>425</v>
      </c>
      <c r="G785" t="s">
        <v>426</v>
      </c>
      <c r="H785" s="3">
        <v>5.1400000000000006</v>
      </c>
      <c r="I785" s="3">
        <v>0</v>
      </c>
      <c r="J785" s="3">
        <v>0</v>
      </c>
      <c r="K785" s="3">
        <v>44.12</v>
      </c>
      <c r="L785" s="3">
        <v>0</v>
      </c>
      <c r="M785" s="3">
        <v>0</v>
      </c>
      <c r="N785" s="3">
        <v>0</v>
      </c>
      <c r="O785" s="3">
        <v>5.7355999999999998</v>
      </c>
      <c r="P785" s="3">
        <v>54.995599999999996</v>
      </c>
      <c r="Q785">
        <v>3</v>
      </c>
    </row>
    <row r="786" spans="1:17" x14ac:dyDescent="0.25">
      <c r="A786" t="s">
        <v>87</v>
      </c>
      <c r="B786" t="s">
        <v>110</v>
      </c>
      <c r="C786" t="s">
        <v>1</v>
      </c>
      <c r="D786" t="s">
        <v>0</v>
      </c>
      <c r="E786">
        <v>35421</v>
      </c>
      <c r="F786" t="s">
        <v>418</v>
      </c>
      <c r="G786" t="s">
        <v>419</v>
      </c>
      <c r="H786" s="3">
        <v>9.4499999999999993</v>
      </c>
      <c r="I786" s="3">
        <v>0</v>
      </c>
      <c r="J786" s="3">
        <v>0</v>
      </c>
      <c r="K786" s="3">
        <v>81.11</v>
      </c>
      <c r="L786" s="3">
        <v>0</v>
      </c>
      <c r="M786" s="3">
        <v>0</v>
      </c>
      <c r="N786" s="3">
        <v>0</v>
      </c>
      <c r="O786" s="3">
        <v>10.5443</v>
      </c>
      <c r="P786" s="3">
        <v>101.10429999999999</v>
      </c>
      <c r="Q786">
        <v>3</v>
      </c>
    </row>
    <row r="787" spans="1:17" x14ac:dyDescent="0.25">
      <c r="A787" t="s">
        <v>87</v>
      </c>
      <c r="B787" t="s">
        <v>118</v>
      </c>
      <c r="C787" t="s">
        <v>1</v>
      </c>
      <c r="D787" t="s">
        <v>0</v>
      </c>
      <c r="E787">
        <v>79</v>
      </c>
      <c r="F787" t="s">
        <v>475</v>
      </c>
      <c r="G787" t="s">
        <v>476</v>
      </c>
      <c r="H787" s="3">
        <v>0</v>
      </c>
      <c r="I787" s="3">
        <v>0</v>
      </c>
      <c r="J787" s="3">
        <v>0</v>
      </c>
      <c r="K787" s="3">
        <v>56.26</v>
      </c>
      <c r="L787" s="3">
        <v>0</v>
      </c>
      <c r="M787" s="3">
        <v>0</v>
      </c>
      <c r="N787" s="3">
        <v>0</v>
      </c>
      <c r="O787" s="3">
        <v>7.3137999999999996</v>
      </c>
      <c r="P787" s="3">
        <v>63.573799999999999</v>
      </c>
      <c r="Q787">
        <v>3</v>
      </c>
    </row>
    <row r="788" spans="1:17" x14ac:dyDescent="0.25">
      <c r="A788" t="s">
        <v>87</v>
      </c>
      <c r="B788" t="s">
        <v>118</v>
      </c>
      <c r="C788" t="s">
        <v>1</v>
      </c>
      <c r="D788" t="s">
        <v>0</v>
      </c>
      <c r="E788">
        <v>85</v>
      </c>
      <c r="F788" t="s">
        <v>475</v>
      </c>
      <c r="G788" t="s">
        <v>476</v>
      </c>
      <c r="H788" s="3">
        <v>0</v>
      </c>
      <c r="I788" s="3">
        <v>0</v>
      </c>
      <c r="J788" s="3">
        <v>0</v>
      </c>
      <c r="K788" s="3">
        <v>47.45</v>
      </c>
      <c r="L788" s="3">
        <v>0</v>
      </c>
      <c r="M788" s="3">
        <v>0</v>
      </c>
      <c r="N788" s="3">
        <v>0</v>
      </c>
      <c r="O788" s="3">
        <v>6.1685000000000008</v>
      </c>
      <c r="P788" s="3">
        <v>53.618500000000004</v>
      </c>
      <c r="Q788">
        <v>3</v>
      </c>
    </row>
    <row r="789" spans="1:17" x14ac:dyDescent="0.25">
      <c r="A789" t="s">
        <v>87</v>
      </c>
      <c r="B789" t="s">
        <v>118</v>
      </c>
      <c r="C789" t="s">
        <v>1</v>
      </c>
      <c r="D789" t="s">
        <v>0</v>
      </c>
      <c r="E789">
        <v>78</v>
      </c>
      <c r="F789" t="s">
        <v>475</v>
      </c>
      <c r="G789" t="s">
        <v>476</v>
      </c>
      <c r="H789" s="3">
        <v>0</v>
      </c>
      <c r="I789" s="3">
        <v>0</v>
      </c>
      <c r="J789" s="3">
        <v>0</v>
      </c>
      <c r="K789" s="3">
        <v>53.91</v>
      </c>
      <c r="L789" s="3">
        <v>0</v>
      </c>
      <c r="M789" s="3">
        <v>0</v>
      </c>
      <c r="N789" s="3">
        <v>0</v>
      </c>
      <c r="O789" s="3">
        <v>7.0083000000000002</v>
      </c>
      <c r="P789" s="3">
        <v>60.918299999999995</v>
      </c>
      <c r="Q789">
        <v>3</v>
      </c>
    </row>
    <row r="790" spans="1:17" x14ac:dyDescent="0.25">
      <c r="A790" t="s">
        <v>87</v>
      </c>
      <c r="B790" t="s">
        <v>118</v>
      </c>
      <c r="C790" t="s">
        <v>1</v>
      </c>
      <c r="D790" t="s">
        <v>0</v>
      </c>
      <c r="E790">
        <v>158141</v>
      </c>
      <c r="F790" t="s">
        <v>425</v>
      </c>
      <c r="G790" t="s">
        <v>426</v>
      </c>
      <c r="H790" s="3">
        <v>3.31</v>
      </c>
      <c r="I790" s="3">
        <v>0</v>
      </c>
      <c r="J790" s="3">
        <v>0</v>
      </c>
      <c r="K790" s="3">
        <v>28.5</v>
      </c>
      <c r="L790" s="3">
        <v>0</v>
      </c>
      <c r="M790" s="3">
        <v>0</v>
      </c>
      <c r="N790" s="3">
        <v>0</v>
      </c>
      <c r="O790" s="3">
        <v>3.7050000000000001</v>
      </c>
      <c r="P790" s="3">
        <v>35.515000000000001</v>
      </c>
      <c r="Q790">
        <v>3</v>
      </c>
    </row>
    <row r="791" spans="1:17" x14ac:dyDescent="0.25">
      <c r="A791" t="s">
        <v>87</v>
      </c>
      <c r="B791" t="s">
        <v>118</v>
      </c>
      <c r="C791" t="s">
        <v>1</v>
      </c>
      <c r="D791" t="s">
        <v>0</v>
      </c>
      <c r="E791">
        <v>35654</v>
      </c>
      <c r="F791" t="s">
        <v>418</v>
      </c>
      <c r="G791" t="s">
        <v>419</v>
      </c>
      <c r="H791" s="3">
        <v>9.3500000000000014</v>
      </c>
      <c r="I791" s="3">
        <v>0</v>
      </c>
      <c r="J791" s="3">
        <v>0</v>
      </c>
      <c r="K791" s="3">
        <v>80.23</v>
      </c>
      <c r="L791" s="3">
        <v>0</v>
      </c>
      <c r="M791" s="3">
        <v>0</v>
      </c>
      <c r="N791" s="3">
        <v>0</v>
      </c>
      <c r="O791" s="3">
        <v>10.429900000000002</v>
      </c>
      <c r="P791" s="3">
        <v>100.00990000000002</v>
      </c>
      <c r="Q791">
        <v>3</v>
      </c>
    </row>
    <row r="792" spans="1:17" x14ac:dyDescent="0.25">
      <c r="A792" t="s">
        <v>87</v>
      </c>
      <c r="B792" t="s">
        <v>437</v>
      </c>
      <c r="C792" t="s">
        <v>1</v>
      </c>
      <c r="D792" t="s">
        <v>0</v>
      </c>
      <c r="E792">
        <v>9011</v>
      </c>
      <c r="F792" t="s">
        <v>438</v>
      </c>
      <c r="G792" t="s">
        <v>439</v>
      </c>
      <c r="H792" s="3">
        <v>8.41</v>
      </c>
      <c r="I792" s="3">
        <v>0</v>
      </c>
      <c r="J792" s="3">
        <v>0</v>
      </c>
      <c r="K792" s="3">
        <v>72.2</v>
      </c>
      <c r="L792" s="3">
        <v>0</v>
      </c>
      <c r="M792" s="3">
        <v>0</v>
      </c>
      <c r="N792" s="3">
        <v>0</v>
      </c>
      <c r="O792" s="3">
        <v>9.386000000000001</v>
      </c>
      <c r="P792" s="3">
        <v>89.995999999999995</v>
      </c>
      <c r="Q792">
        <v>3</v>
      </c>
    </row>
    <row r="793" spans="1:17" x14ac:dyDescent="0.25">
      <c r="A793" t="s">
        <v>87</v>
      </c>
      <c r="B793" t="s">
        <v>422</v>
      </c>
      <c r="C793" t="s">
        <v>1</v>
      </c>
      <c r="D793" t="s">
        <v>0</v>
      </c>
      <c r="E793">
        <v>2333</v>
      </c>
      <c r="F793" t="s">
        <v>465</v>
      </c>
      <c r="G793" t="s">
        <v>466</v>
      </c>
      <c r="H793" s="3">
        <v>0</v>
      </c>
      <c r="I793" s="3">
        <v>0</v>
      </c>
      <c r="J793" s="3">
        <v>0</v>
      </c>
      <c r="K793" s="3">
        <v>8.9600000000000009</v>
      </c>
      <c r="L793" s="3">
        <v>0</v>
      </c>
      <c r="M793" s="3">
        <v>0</v>
      </c>
      <c r="N793" s="3">
        <v>0</v>
      </c>
      <c r="O793" s="3">
        <v>1.1648000000000001</v>
      </c>
      <c r="P793" s="3">
        <v>10.1248</v>
      </c>
      <c r="Q793">
        <v>3</v>
      </c>
    </row>
    <row r="794" spans="1:17" x14ac:dyDescent="0.25">
      <c r="A794" t="s">
        <v>87</v>
      </c>
      <c r="B794" t="s">
        <v>422</v>
      </c>
      <c r="C794" t="s">
        <v>1</v>
      </c>
      <c r="D794" t="s">
        <v>0</v>
      </c>
      <c r="E794">
        <v>35937</v>
      </c>
      <c r="F794" t="s">
        <v>418</v>
      </c>
      <c r="G794" t="s">
        <v>419</v>
      </c>
      <c r="H794" s="3">
        <v>11.21</v>
      </c>
      <c r="I794" s="3">
        <v>0</v>
      </c>
      <c r="J794" s="3">
        <v>0</v>
      </c>
      <c r="K794" s="3">
        <v>96.27</v>
      </c>
      <c r="L794" s="3">
        <v>0</v>
      </c>
      <c r="M794" s="3">
        <v>0</v>
      </c>
      <c r="N794" s="3">
        <v>0</v>
      </c>
      <c r="O794" s="3">
        <v>12.5151</v>
      </c>
      <c r="P794" s="3">
        <v>119.99509999999999</v>
      </c>
      <c r="Q794">
        <v>3</v>
      </c>
    </row>
    <row r="795" spans="1:17" x14ac:dyDescent="0.25">
      <c r="A795" t="s">
        <v>87</v>
      </c>
      <c r="B795" t="s">
        <v>450</v>
      </c>
      <c r="C795" t="s">
        <v>1</v>
      </c>
      <c r="D795" t="s">
        <v>0</v>
      </c>
      <c r="E795">
        <v>1568</v>
      </c>
      <c r="F795" t="s">
        <v>451</v>
      </c>
      <c r="G795" t="s">
        <v>452</v>
      </c>
      <c r="H795" s="3">
        <v>10.14</v>
      </c>
      <c r="I795" s="3">
        <v>0</v>
      </c>
      <c r="J795" s="3">
        <v>0</v>
      </c>
      <c r="K795" s="3">
        <v>87.04</v>
      </c>
      <c r="L795" s="3">
        <v>0</v>
      </c>
      <c r="M795" s="3">
        <v>0</v>
      </c>
      <c r="N795" s="3">
        <v>0</v>
      </c>
      <c r="O795" s="3">
        <v>11.315200000000001</v>
      </c>
      <c r="P795" s="3">
        <v>108.49520000000001</v>
      </c>
      <c r="Q795">
        <v>3</v>
      </c>
    </row>
    <row r="796" spans="1:17" x14ac:dyDescent="0.25">
      <c r="A796" t="s">
        <v>87</v>
      </c>
      <c r="B796" t="s">
        <v>105</v>
      </c>
      <c r="C796" t="s">
        <v>1</v>
      </c>
      <c r="D796" t="s">
        <v>0</v>
      </c>
      <c r="E796">
        <v>311484</v>
      </c>
      <c r="F796" t="s">
        <v>477</v>
      </c>
      <c r="G796" t="s">
        <v>478</v>
      </c>
      <c r="H796" s="3">
        <v>0</v>
      </c>
      <c r="I796" s="3">
        <v>0</v>
      </c>
      <c r="J796" s="3">
        <v>0</v>
      </c>
      <c r="K796" s="3">
        <v>158.63999999999999</v>
      </c>
      <c r="L796" s="3">
        <v>0</v>
      </c>
      <c r="M796" s="3">
        <v>0</v>
      </c>
      <c r="N796" s="3">
        <v>0</v>
      </c>
      <c r="O796" s="3">
        <v>20.623200000000001</v>
      </c>
      <c r="P796" s="3">
        <v>179.26319999999998</v>
      </c>
      <c r="Q796">
        <v>3</v>
      </c>
    </row>
    <row r="797" spans="1:17" x14ac:dyDescent="0.25">
      <c r="A797" t="s">
        <v>87</v>
      </c>
      <c r="B797" t="s">
        <v>105</v>
      </c>
      <c r="C797" t="s">
        <v>1</v>
      </c>
      <c r="D797" t="s">
        <v>0</v>
      </c>
      <c r="E797">
        <v>92</v>
      </c>
      <c r="F797" t="s">
        <v>475</v>
      </c>
      <c r="G797" t="s">
        <v>476</v>
      </c>
      <c r="H797" s="3">
        <v>0</v>
      </c>
      <c r="I797" s="3">
        <v>0</v>
      </c>
      <c r="J797" s="3">
        <v>0</v>
      </c>
      <c r="K797" s="3">
        <v>56.26</v>
      </c>
      <c r="L797" s="3">
        <v>0</v>
      </c>
      <c r="M797" s="3">
        <v>0</v>
      </c>
      <c r="N797" s="3">
        <v>0</v>
      </c>
      <c r="O797" s="3">
        <v>7.3137999999999996</v>
      </c>
      <c r="P797" s="3">
        <v>63.573799999999999</v>
      </c>
      <c r="Q797">
        <v>3</v>
      </c>
    </row>
    <row r="798" spans="1:17" x14ac:dyDescent="0.25">
      <c r="A798" t="s">
        <v>87</v>
      </c>
      <c r="B798" t="s">
        <v>105</v>
      </c>
      <c r="C798" t="s">
        <v>1</v>
      </c>
      <c r="D798" t="s">
        <v>0</v>
      </c>
      <c r="E798">
        <v>91</v>
      </c>
      <c r="F798" t="s">
        <v>475</v>
      </c>
      <c r="G798" t="s">
        <v>476</v>
      </c>
      <c r="H798" s="3">
        <v>0</v>
      </c>
      <c r="I798" s="3">
        <v>0</v>
      </c>
      <c r="J798" s="3">
        <v>0</v>
      </c>
      <c r="K798" s="3">
        <v>56.26</v>
      </c>
      <c r="L798" s="3">
        <v>0</v>
      </c>
      <c r="M798" s="3">
        <v>0</v>
      </c>
      <c r="N798" s="3">
        <v>0</v>
      </c>
      <c r="O798" s="3">
        <v>7.3137999999999996</v>
      </c>
      <c r="P798" s="3">
        <v>63.573799999999999</v>
      </c>
      <c r="Q798">
        <v>3</v>
      </c>
    </row>
    <row r="799" spans="1:17" x14ac:dyDescent="0.25">
      <c r="A799" t="s">
        <v>87</v>
      </c>
      <c r="B799" t="s">
        <v>105</v>
      </c>
      <c r="C799" t="s">
        <v>1</v>
      </c>
      <c r="D799" t="s">
        <v>0</v>
      </c>
      <c r="E799">
        <v>2385</v>
      </c>
      <c r="F799" t="s">
        <v>455</v>
      </c>
      <c r="G799" t="s">
        <v>456</v>
      </c>
      <c r="H799" s="3">
        <v>12.3</v>
      </c>
      <c r="I799" s="3">
        <v>0</v>
      </c>
      <c r="J799" s="3">
        <v>0</v>
      </c>
      <c r="K799" s="3">
        <v>104.16</v>
      </c>
      <c r="L799" s="3">
        <v>0</v>
      </c>
      <c r="M799" s="3">
        <v>0</v>
      </c>
      <c r="N799" s="3">
        <v>0</v>
      </c>
      <c r="O799" s="3">
        <v>13.540800000000001</v>
      </c>
      <c r="P799" s="3">
        <v>130.0008</v>
      </c>
      <c r="Q799">
        <v>3</v>
      </c>
    </row>
    <row r="800" spans="1:17" x14ac:dyDescent="0.25">
      <c r="A800" t="s">
        <v>87</v>
      </c>
      <c r="B800" t="s">
        <v>105</v>
      </c>
      <c r="C800" t="s">
        <v>1</v>
      </c>
      <c r="D800" t="s">
        <v>0</v>
      </c>
      <c r="E800">
        <v>158344</v>
      </c>
      <c r="F800" t="s">
        <v>425</v>
      </c>
      <c r="G800" t="s">
        <v>426</v>
      </c>
      <c r="H800" s="3">
        <v>1.63</v>
      </c>
      <c r="I800" s="3">
        <v>0</v>
      </c>
      <c r="J800" s="3">
        <v>0</v>
      </c>
      <c r="K800" s="3">
        <v>14.02</v>
      </c>
      <c r="L800" s="3">
        <v>0</v>
      </c>
      <c r="M800" s="3">
        <v>0</v>
      </c>
      <c r="N800" s="3">
        <v>0</v>
      </c>
      <c r="O800" s="3">
        <v>1.8226</v>
      </c>
      <c r="P800" s="3">
        <v>17.4726</v>
      </c>
      <c r="Q800">
        <v>3</v>
      </c>
    </row>
    <row r="801" spans="1:17" x14ac:dyDescent="0.25">
      <c r="A801" t="s">
        <v>87</v>
      </c>
      <c r="B801" t="s">
        <v>111</v>
      </c>
      <c r="C801" t="s">
        <v>1</v>
      </c>
      <c r="D801" t="s">
        <v>0</v>
      </c>
      <c r="E801">
        <v>103</v>
      </c>
      <c r="F801" t="s">
        <v>475</v>
      </c>
      <c r="G801" t="s">
        <v>476</v>
      </c>
      <c r="H801" s="3">
        <v>0</v>
      </c>
      <c r="I801" s="3">
        <v>0</v>
      </c>
      <c r="J801" s="3">
        <v>0</v>
      </c>
      <c r="K801" s="3">
        <v>28.08</v>
      </c>
      <c r="L801" s="3">
        <v>0</v>
      </c>
      <c r="M801" s="3">
        <v>0</v>
      </c>
      <c r="N801" s="3">
        <v>0</v>
      </c>
      <c r="O801" s="3">
        <v>3.6503999999999999</v>
      </c>
      <c r="P801" s="3">
        <v>31.730399999999999</v>
      </c>
      <c r="Q801">
        <v>3</v>
      </c>
    </row>
    <row r="802" spans="1:17" x14ac:dyDescent="0.25">
      <c r="A802" t="s">
        <v>87</v>
      </c>
      <c r="B802" t="s">
        <v>111</v>
      </c>
      <c r="C802" t="s">
        <v>1</v>
      </c>
      <c r="D802" t="s">
        <v>0</v>
      </c>
      <c r="E802">
        <v>104</v>
      </c>
      <c r="F802" t="s">
        <v>475</v>
      </c>
      <c r="G802" t="s">
        <v>476</v>
      </c>
      <c r="H802" s="3">
        <v>0</v>
      </c>
      <c r="I802" s="3">
        <v>0</v>
      </c>
      <c r="J802" s="3">
        <v>0</v>
      </c>
      <c r="K802" s="3">
        <v>61.77</v>
      </c>
      <c r="L802" s="3">
        <v>0</v>
      </c>
      <c r="M802" s="3">
        <v>0</v>
      </c>
      <c r="N802" s="3">
        <v>0</v>
      </c>
      <c r="O802" s="3">
        <v>8.0301000000000009</v>
      </c>
      <c r="P802" s="3">
        <v>69.8001</v>
      </c>
      <c r="Q802">
        <v>3</v>
      </c>
    </row>
    <row r="803" spans="1:17" x14ac:dyDescent="0.25">
      <c r="A803" t="s">
        <v>87</v>
      </c>
      <c r="B803" t="s">
        <v>111</v>
      </c>
      <c r="C803" t="s">
        <v>1</v>
      </c>
      <c r="D803" t="s">
        <v>0</v>
      </c>
      <c r="E803">
        <v>102</v>
      </c>
      <c r="F803" t="s">
        <v>475</v>
      </c>
      <c r="G803" t="s">
        <v>476</v>
      </c>
      <c r="H803" s="3">
        <v>0</v>
      </c>
      <c r="I803" s="3">
        <v>0</v>
      </c>
      <c r="J803" s="3">
        <v>0</v>
      </c>
      <c r="K803" s="3">
        <v>42.68</v>
      </c>
      <c r="L803" s="3">
        <v>0</v>
      </c>
      <c r="M803" s="3">
        <v>0</v>
      </c>
      <c r="N803" s="3">
        <v>0</v>
      </c>
      <c r="O803" s="3">
        <v>5.5484</v>
      </c>
      <c r="P803" s="3">
        <v>48.228400000000001</v>
      </c>
      <c r="Q803">
        <v>3</v>
      </c>
    </row>
    <row r="804" spans="1:17" x14ac:dyDescent="0.25">
      <c r="A804" t="s">
        <v>87</v>
      </c>
      <c r="B804" t="s">
        <v>111</v>
      </c>
      <c r="C804" t="s">
        <v>1</v>
      </c>
      <c r="D804" t="s">
        <v>0</v>
      </c>
      <c r="E804">
        <v>36570</v>
      </c>
      <c r="F804" t="s">
        <v>418</v>
      </c>
      <c r="G804" t="s">
        <v>419</v>
      </c>
      <c r="H804" s="3">
        <v>12.52</v>
      </c>
      <c r="I804" s="3">
        <v>0</v>
      </c>
      <c r="J804" s="3">
        <v>0</v>
      </c>
      <c r="K804" s="3">
        <v>107.5</v>
      </c>
      <c r="L804" s="3">
        <v>0</v>
      </c>
      <c r="M804" s="3">
        <v>0</v>
      </c>
      <c r="N804" s="3">
        <v>0</v>
      </c>
      <c r="O804" s="3">
        <v>13.975</v>
      </c>
      <c r="P804" s="3">
        <v>133.995</v>
      </c>
      <c r="Q804">
        <v>3</v>
      </c>
    </row>
    <row r="805" spans="1:17" x14ac:dyDescent="0.25">
      <c r="A805" t="s">
        <v>87</v>
      </c>
      <c r="B805" t="s">
        <v>111</v>
      </c>
      <c r="C805" t="s">
        <v>1</v>
      </c>
      <c r="D805" t="s">
        <v>0</v>
      </c>
      <c r="E805">
        <v>36449</v>
      </c>
      <c r="F805" t="s">
        <v>418</v>
      </c>
      <c r="G805" t="s">
        <v>419</v>
      </c>
      <c r="H805" s="3">
        <v>10.5</v>
      </c>
      <c r="I805" s="3">
        <v>0</v>
      </c>
      <c r="J805" s="3">
        <v>0</v>
      </c>
      <c r="K805" s="3">
        <v>90.09</v>
      </c>
      <c r="L805" s="3">
        <v>0</v>
      </c>
      <c r="M805" s="3">
        <v>0</v>
      </c>
      <c r="N805" s="3">
        <v>0</v>
      </c>
      <c r="O805" s="3">
        <v>11.7117</v>
      </c>
      <c r="P805" s="3">
        <v>112.30170000000001</v>
      </c>
      <c r="Q805">
        <v>3</v>
      </c>
    </row>
    <row r="806" spans="1:17" x14ac:dyDescent="0.25">
      <c r="A806" t="s">
        <v>87</v>
      </c>
      <c r="B806" t="s">
        <v>116</v>
      </c>
      <c r="C806" t="s">
        <v>1</v>
      </c>
      <c r="D806" t="s">
        <v>0</v>
      </c>
      <c r="E806">
        <v>158640</v>
      </c>
      <c r="F806" t="s">
        <v>425</v>
      </c>
      <c r="G806" t="s">
        <v>426</v>
      </c>
      <c r="H806" s="3">
        <v>2.52</v>
      </c>
      <c r="I806" s="3">
        <v>0</v>
      </c>
      <c r="J806" s="3">
        <v>0</v>
      </c>
      <c r="K806" s="3">
        <v>21.66</v>
      </c>
      <c r="L806" s="3">
        <v>0</v>
      </c>
      <c r="M806" s="3">
        <v>0</v>
      </c>
      <c r="N806" s="3">
        <v>0</v>
      </c>
      <c r="O806" s="3">
        <v>2.8158000000000003</v>
      </c>
      <c r="P806" s="3">
        <v>26.995799999999999</v>
      </c>
      <c r="Q806">
        <v>3</v>
      </c>
    </row>
    <row r="807" spans="1:17" x14ac:dyDescent="0.25">
      <c r="A807" t="s">
        <v>87</v>
      </c>
      <c r="B807" t="s">
        <v>458</v>
      </c>
      <c r="C807" t="s">
        <v>1</v>
      </c>
      <c r="D807" t="s">
        <v>0</v>
      </c>
      <c r="E807">
        <v>50236</v>
      </c>
      <c r="F807" t="s">
        <v>459</v>
      </c>
      <c r="G807" t="s">
        <v>460</v>
      </c>
      <c r="H807" s="3">
        <v>7.19</v>
      </c>
      <c r="I807" s="3">
        <v>0</v>
      </c>
      <c r="J807" s="3">
        <v>0</v>
      </c>
      <c r="K807" s="3">
        <v>60.01</v>
      </c>
      <c r="L807" s="3">
        <v>0</v>
      </c>
      <c r="M807" s="3">
        <v>0</v>
      </c>
      <c r="N807" s="3">
        <v>0</v>
      </c>
      <c r="O807" s="3">
        <v>7.8013000000000003</v>
      </c>
      <c r="P807" s="3">
        <v>75.001300000000001</v>
      </c>
      <c r="Q807">
        <v>3</v>
      </c>
    </row>
    <row r="808" spans="1:17" x14ac:dyDescent="0.25">
      <c r="A808" t="s">
        <v>87</v>
      </c>
      <c r="B808" t="s">
        <v>101</v>
      </c>
      <c r="C808" t="s">
        <v>1</v>
      </c>
      <c r="D808" t="s">
        <v>0</v>
      </c>
      <c r="E808">
        <v>105</v>
      </c>
      <c r="F808" t="s">
        <v>475</v>
      </c>
      <c r="G808" t="s">
        <v>476</v>
      </c>
      <c r="H808" s="3">
        <v>0</v>
      </c>
      <c r="I808" s="3">
        <v>0</v>
      </c>
      <c r="J808" s="3">
        <v>0</v>
      </c>
      <c r="K808" s="3">
        <v>56.26</v>
      </c>
      <c r="L808" s="3">
        <v>0</v>
      </c>
      <c r="M808" s="3">
        <v>0</v>
      </c>
      <c r="N808" s="3">
        <v>0</v>
      </c>
      <c r="O808" s="3">
        <v>7.3137999999999996</v>
      </c>
      <c r="P808" s="3">
        <v>63.573799999999999</v>
      </c>
      <c r="Q808">
        <v>3</v>
      </c>
    </row>
    <row r="809" spans="1:17" x14ac:dyDescent="0.25">
      <c r="A809" t="s">
        <v>87</v>
      </c>
      <c r="B809" t="s">
        <v>101</v>
      </c>
      <c r="C809" t="s">
        <v>1</v>
      </c>
      <c r="D809" t="s">
        <v>0</v>
      </c>
      <c r="E809">
        <v>118</v>
      </c>
      <c r="F809" t="s">
        <v>475</v>
      </c>
      <c r="G809" t="s">
        <v>476</v>
      </c>
      <c r="H809" s="3">
        <v>0</v>
      </c>
      <c r="I809" s="3">
        <v>0</v>
      </c>
      <c r="J809" s="3">
        <v>0</v>
      </c>
      <c r="K809" s="3">
        <v>37.06</v>
      </c>
      <c r="L809" s="3">
        <v>0</v>
      </c>
      <c r="M809" s="3">
        <v>0</v>
      </c>
      <c r="N809" s="3">
        <v>0</v>
      </c>
      <c r="O809" s="3">
        <v>4.8178000000000001</v>
      </c>
      <c r="P809" s="3">
        <v>41.877800000000001</v>
      </c>
      <c r="Q809">
        <v>3</v>
      </c>
    </row>
    <row r="810" spans="1:17" x14ac:dyDescent="0.25">
      <c r="A810" t="s">
        <v>87</v>
      </c>
      <c r="B810" t="s">
        <v>101</v>
      </c>
      <c r="C810" t="s">
        <v>1</v>
      </c>
      <c r="D810" t="s">
        <v>0</v>
      </c>
      <c r="E810">
        <v>6122</v>
      </c>
      <c r="F810" t="s">
        <v>446</v>
      </c>
      <c r="G810" t="s">
        <v>447</v>
      </c>
      <c r="H810" s="3">
        <v>9.35</v>
      </c>
      <c r="I810" s="3">
        <v>0</v>
      </c>
      <c r="J810" s="3">
        <v>0</v>
      </c>
      <c r="K810" s="3">
        <v>80.22</v>
      </c>
      <c r="L810" s="3">
        <v>0</v>
      </c>
      <c r="M810" s="3">
        <v>0</v>
      </c>
      <c r="N810" s="3">
        <v>0</v>
      </c>
      <c r="O810" s="3">
        <v>10.428599999999999</v>
      </c>
      <c r="P810" s="3">
        <v>99.998599999999996</v>
      </c>
      <c r="Q810">
        <v>3</v>
      </c>
    </row>
    <row r="811" spans="1:17" x14ac:dyDescent="0.25">
      <c r="A811" t="s">
        <v>87</v>
      </c>
      <c r="B811" t="s">
        <v>101</v>
      </c>
      <c r="C811" t="s">
        <v>1</v>
      </c>
      <c r="D811" t="s">
        <v>0</v>
      </c>
      <c r="E811">
        <v>37162</v>
      </c>
      <c r="F811" t="s">
        <v>418</v>
      </c>
      <c r="G811" t="s">
        <v>419</v>
      </c>
      <c r="H811" s="3">
        <v>12.09</v>
      </c>
      <c r="I811" s="3">
        <v>0</v>
      </c>
      <c r="J811" s="3">
        <v>0</v>
      </c>
      <c r="K811" s="3">
        <v>103.71</v>
      </c>
      <c r="L811" s="3">
        <v>0</v>
      </c>
      <c r="M811" s="3">
        <v>0</v>
      </c>
      <c r="N811" s="3">
        <v>0</v>
      </c>
      <c r="O811" s="3">
        <v>13.4823</v>
      </c>
      <c r="P811" s="3">
        <v>129.28229999999999</v>
      </c>
      <c r="Q811">
        <v>3</v>
      </c>
    </row>
    <row r="812" spans="1:17" x14ac:dyDescent="0.25">
      <c r="A812" t="s">
        <v>87</v>
      </c>
      <c r="B812" t="s">
        <v>101</v>
      </c>
      <c r="C812" t="s">
        <v>1</v>
      </c>
      <c r="D812" t="s">
        <v>0</v>
      </c>
      <c r="E812">
        <v>37034</v>
      </c>
      <c r="F812" t="s">
        <v>418</v>
      </c>
      <c r="G812" t="s">
        <v>419</v>
      </c>
      <c r="H812" s="3">
        <v>5.86</v>
      </c>
      <c r="I812" s="3">
        <v>0</v>
      </c>
      <c r="J812" s="3">
        <v>0</v>
      </c>
      <c r="K812" s="3">
        <v>50.37</v>
      </c>
      <c r="L812" s="3">
        <v>0</v>
      </c>
      <c r="M812" s="3">
        <v>0</v>
      </c>
      <c r="N812" s="3">
        <v>0</v>
      </c>
      <c r="O812" s="3">
        <v>6.5480999999999998</v>
      </c>
      <c r="P812" s="3">
        <v>62.778099999999995</v>
      </c>
      <c r="Q812">
        <v>3</v>
      </c>
    </row>
    <row r="813" spans="1:17" x14ac:dyDescent="0.25">
      <c r="A813" t="s">
        <v>87</v>
      </c>
      <c r="B813" t="s">
        <v>115</v>
      </c>
      <c r="C813" t="s">
        <v>1</v>
      </c>
      <c r="D813" t="s">
        <v>0</v>
      </c>
      <c r="E813">
        <v>132</v>
      </c>
      <c r="F813" t="s">
        <v>475</v>
      </c>
      <c r="G813" t="s">
        <v>476</v>
      </c>
      <c r="H813" s="3">
        <v>0</v>
      </c>
      <c r="I813" s="3">
        <v>0</v>
      </c>
      <c r="J813" s="3">
        <v>0</v>
      </c>
      <c r="K813" s="3">
        <v>56.26</v>
      </c>
      <c r="L813" s="3">
        <v>0</v>
      </c>
      <c r="M813" s="3">
        <v>0</v>
      </c>
      <c r="N813" s="3">
        <v>0</v>
      </c>
      <c r="O813" s="3">
        <v>7.3137999999999996</v>
      </c>
      <c r="P813" s="3">
        <v>63.573799999999999</v>
      </c>
      <c r="Q813">
        <v>3</v>
      </c>
    </row>
    <row r="814" spans="1:17" x14ac:dyDescent="0.25">
      <c r="A814" t="s">
        <v>87</v>
      </c>
      <c r="B814" t="s">
        <v>115</v>
      </c>
      <c r="C814" t="s">
        <v>1</v>
      </c>
      <c r="D814" t="s">
        <v>0</v>
      </c>
      <c r="E814">
        <v>123</v>
      </c>
      <c r="F814" t="s">
        <v>475</v>
      </c>
      <c r="G814" t="s">
        <v>476</v>
      </c>
      <c r="H814" s="3">
        <v>0</v>
      </c>
      <c r="I814" s="3">
        <v>0</v>
      </c>
      <c r="J814" s="3">
        <v>0</v>
      </c>
      <c r="K814" s="3">
        <v>49.98</v>
      </c>
      <c r="L814" s="3">
        <v>0</v>
      </c>
      <c r="M814" s="3">
        <v>0</v>
      </c>
      <c r="N814" s="3">
        <v>0</v>
      </c>
      <c r="O814" s="3">
        <v>6.4973999999999998</v>
      </c>
      <c r="P814" s="3">
        <v>56.477399999999996</v>
      </c>
      <c r="Q814">
        <v>3</v>
      </c>
    </row>
    <row r="815" spans="1:17" x14ac:dyDescent="0.25">
      <c r="A815" t="s">
        <v>87</v>
      </c>
      <c r="B815" t="s">
        <v>115</v>
      </c>
      <c r="C815" t="s">
        <v>1</v>
      </c>
      <c r="D815" t="s">
        <v>0</v>
      </c>
      <c r="E815">
        <v>723483</v>
      </c>
      <c r="F815" t="s">
        <v>127</v>
      </c>
      <c r="G815" t="s">
        <v>128</v>
      </c>
      <c r="H815" s="3">
        <v>0</v>
      </c>
      <c r="I815" s="3">
        <v>0</v>
      </c>
      <c r="J815" s="3">
        <v>0</v>
      </c>
      <c r="K815" s="3">
        <v>129.69</v>
      </c>
      <c r="L815" s="3">
        <v>0</v>
      </c>
      <c r="M815" s="3">
        <v>0</v>
      </c>
      <c r="N815" s="3">
        <v>0</v>
      </c>
      <c r="O815" s="3">
        <v>16.8597</v>
      </c>
      <c r="P815" s="3">
        <v>146.5497</v>
      </c>
      <c r="Q815">
        <v>3</v>
      </c>
    </row>
    <row r="816" spans="1:17" x14ac:dyDescent="0.25">
      <c r="A816" t="s">
        <v>87</v>
      </c>
      <c r="B816" t="s">
        <v>115</v>
      </c>
      <c r="C816" t="s">
        <v>1</v>
      </c>
      <c r="D816" t="s">
        <v>0</v>
      </c>
      <c r="E816">
        <v>158909</v>
      </c>
      <c r="F816" t="s">
        <v>425</v>
      </c>
      <c r="G816" t="s">
        <v>426</v>
      </c>
      <c r="H816" s="3">
        <v>2.9</v>
      </c>
      <c r="I816" s="3">
        <v>0</v>
      </c>
      <c r="J816" s="3">
        <v>0</v>
      </c>
      <c r="K816" s="3">
        <v>24.87</v>
      </c>
      <c r="L816" s="3">
        <v>0</v>
      </c>
      <c r="M816" s="3">
        <v>0</v>
      </c>
      <c r="N816" s="3">
        <v>0</v>
      </c>
      <c r="O816" s="3">
        <v>3.2331000000000003</v>
      </c>
      <c r="P816" s="3">
        <v>31.0031</v>
      </c>
      <c r="Q816">
        <v>3</v>
      </c>
    </row>
    <row r="817" spans="1:17" x14ac:dyDescent="0.25">
      <c r="A817" t="s">
        <v>87</v>
      </c>
      <c r="B817" t="s">
        <v>115</v>
      </c>
      <c r="C817" t="s">
        <v>1</v>
      </c>
      <c r="D817" t="s">
        <v>0</v>
      </c>
      <c r="E817">
        <v>37287</v>
      </c>
      <c r="F817" t="s">
        <v>418</v>
      </c>
      <c r="G817" t="s">
        <v>419</v>
      </c>
      <c r="H817" s="3">
        <v>1.91</v>
      </c>
      <c r="I817" s="3">
        <v>0</v>
      </c>
      <c r="J817" s="3">
        <v>0</v>
      </c>
      <c r="K817" s="3">
        <v>16.45</v>
      </c>
      <c r="L817" s="3">
        <v>0</v>
      </c>
      <c r="M817" s="3">
        <v>0</v>
      </c>
      <c r="N817" s="3">
        <v>0</v>
      </c>
      <c r="O817" s="3">
        <v>2.1385000000000001</v>
      </c>
      <c r="P817" s="3">
        <v>20.4985</v>
      </c>
      <c r="Q817">
        <v>3</v>
      </c>
    </row>
    <row r="818" spans="1:17" x14ac:dyDescent="0.25">
      <c r="A818" t="s">
        <v>87</v>
      </c>
      <c r="B818" t="s">
        <v>107</v>
      </c>
      <c r="C818" t="s">
        <v>1</v>
      </c>
      <c r="D818" t="s">
        <v>0</v>
      </c>
      <c r="E818">
        <v>443119</v>
      </c>
      <c r="F818" t="s">
        <v>461</v>
      </c>
      <c r="G818" t="s">
        <v>462</v>
      </c>
      <c r="H818" s="3">
        <v>4.42</v>
      </c>
      <c r="I818" s="3">
        <v>0</v>
      </c>
      <c r="J818" s="3">
        <v>0</v>
      </c>
      <c r="K818" s="3">
        <v>40.58</v>
      </c>
      <c r="L818" s="3">
        <v>0</v>
      </c>
      <c r="M818" s="3">
        <v>0</v>
      </c>
      <c r="N818" s="3">
        <v>0</v>
      </c>
      <c r="O818" s="3">
        <v>5.2754000000000003</v>
      </c>
      <c r="P818" s="3">
        <v>50.275399999999998</v>
      </c>
      <c r="Q818">
        <v>3</v>
      </c>
    </row>
    <row r="819" spans="1:17" x14ac:dyDescent="0.25">
      <c r="A819" t="s">
        <v>87</v>
      </c>
      <c r="B819" t="s">
        <v>107</v>
      </c>
      <c r="C819" t="s">
        <v>1</v>
      </c>
      <c r="D819" t="s">
        <v>0</v>
      </c>
      <c r="E819">
        <v>159108</v>
      </c>
      <c r="F819" t="s">
        <v>425</v>
      </c>
      <c r="G819" t="s">
        <v>426</v>
      </c>
      <c r="H819" s="3">
        <v>7.54</v>
      </c>
      <c r="I819" s="3">
        <v>0</v>
      </c>
      <c r="J819" s="3">
        <v>0</v>
      </c>
      <c r="K819" s="3">
        <v>64.73</v>
      </c>
      <c r="L819" s="3">
        <v>0</v>
      </c>
      <c r="M819" s="3">
        <v>0</v>
      </c>
      <c r="N819" s="3">
        <v>0</v>
      </c>
      <c r="O819" s="3">
        <v>8.4149000000000012</v>
      </c>
      <c r="P819" s="3">
        <v>80.684900000000013</v>
      </c>
      <c r="Q819">
        <v>3</v>
      </c>
    </row>
    <row r="820" spans="1:17" x14ac:dyDescent="0.25">
      <c r="A820" t="s">
        <v>87</v>
      </c>
      <c r="B820" t="s">
        <v>423</v>
      </c>
      <c r="C820" t="s">
        <v>1</v>
      </c>
      <c r="D820" t="s">
        <v>0</v>
      </c>
      <c r="E820">
        <v>68541</v>
      </c>
      <c r="F820" t="s">
        <v>440</v>
      </c>
      <c r="G820" t="s">
        <v>441</v>
      </c>
      <c r="H820" s="3">
        <v>3.75</v>
      </c>
      <c r="I820" s="3">
        <v>0</v>
      </c>
      <c r="J820" s="3">
        <v>0</v>
      </c>
      <c r="K820" s="3">
        <v>32.08</v>
      </c>
      <c r="L820" s="3">
        <v>0</v>
      </c>
      <c r="M820" s="3">
        <v>0</v>
      </c>
      <c r="N820" s="3">
        <v>0</v>
      </c>
      <c r="O820" s="3">
        <v>4.1703999999999999</v>
      </c>
      <c r="P820" s="3">
        <v>40.000399999999999</v>
      </c>
      <c r="Q820">
        <v>3</v>
      </c>
    </row>
    <row r="821" spans="1:17" x14ac:dyDescent="0.25">
      <c r="A821" t="s">
        <v>87</v>
      </c>
      <c r="B821" t="s">
        <v>423</v>
      </c>
      <c r="C821" t="s">
        <v>1</v>
      </c>
      <c r="D821" t="s">
        <v>0</v>
      </c>
      <c r="E821">
        <v>37827</v>
      </c>
      <c r="F821" t="s">
        <v>418</v>
      </c>
      <c r="G821" t="s">
        <v>419</v>
      </c>
      <c r="H821" s="3">
        <v>10.8</v>
      </c>
      <c r="I821" s="3">
        <v>0</v>
      </c>
      <c r="J821" s="3">
        <v>0</v>
      </c>
      <c r="K821" s="3">
        <v>92.74</v>
      </c>
      <c r="L821" s="3">
        <v>0</v>
      </c>
      <c r="M821" s="3">
        <v>0</v>
      </c>
      <c r="N821" s="3">
        <v>0</v>
      </c>
      <c r="O821" s="3">
        <v>12.0562</v>
      </c>
      <c r="P821" s="3">
        <v>115.5962</v>
      </c>
      <c r="Q821">
        <v>3</v>
      </c>
    </row>
    <row r="822" spans="1:17" x14ac:dyDescent="0.25">
      <c r="A822" t="s">
        <v>87</v>
      </c>
      <c r="B822" t="s">
        <v>95</v>
      </c>
      <c r="C822" t="s">
        <v>1</v>
      </c>
      <c r="D822" t="s">
        <v>0</v>
      </c>
      <c r="E822">
        <v>153</v>
      </c>
      <c r="F822" t="s">
        <v>475</v>
      </c>
      <c r="G822" t="s">
        <v>476</v>
      </c>
      <c r="H822" s="3">
        <v>0</v>
      </c>
      <c r="I822" s="3">
        <v>0</v>
      </c>
      <c r="J822" s="3">
        <v>0</v>
      </c>
      <c r="K822" s="3">
        <v>56.26</v>
      </c>
      <c r="L822" s="3">
        <v>0</v>
      </c>
      <c r="M822" s="3">
        <v>0</v>
      </c>
      <c r="N822" s="3">
        <v>0</v>
      </c>
      <c r="O822" s="3">
        <v>7.3137999999999996</v>
      </c>
      <c r="P822" s="3">
        <v>63.573799999999999</v>
      </c>
      <c r="Q822">
        <v>3</v>
      </c>
    </row>
    <row r="823" spans="1:17" x14ac:dyDescent="0.25">
      <c r="A823" t="s">
        <v>87</v>
      </c>
      <c r="B823" t="s">
        <v>95</v>
      </c>
      <c r="C823" t="s">
        <v>1</v>
      </c>
      <c r="D823" t="s">
        <v>0</v>
      </c>
      <c r="E823">
        <v>152</v>
      </c>
      <c r="F823" t="s">
        <v>475</v>
      </c>
      <c r="G823" t="s">
        <v>476</v>
      </c>
      <c r="H823" s="3">
        <v>0</v>
      </c>
      <c r="I823" s="3">
        <v>0</v>
      </c>
      <c r="J823" s="3">
        <v>0</v>
      </c>
      <c r="K823" s="3">
        <v>56.26</v>
      </c>
      <c r="L823" s="3">
        <v>0</v>
      </c>
      <c r="M823" s="3">
        <v>0</v>
      </c>
      <c r="N823" s="3">
        <v>0</v>
      </c>
      <c r="O823" s="3">
        <v>7.3137999999999996</v>
      </c>
      <c r="P823" s="3">
        <v>63.573799999999999</v>
      </c>
      <c r="Q823">
        <v>3</v>
      </c>
    </row>
    <row r="824" spans="1:17" x14ac:dyDescent="0.25">
      <c r="A824" t="s">
        <v>87</v>
      </c>
      <c r="B824" t="s">
        <v>95</v>
      </c>
      <c r="C824" t="s">
        <v>1</v>
      </c>
      <c r="D824" t="s">
        <v>0</v>
      </c>
      <c r="E824">
        <v>143</v>
      </c>
      <c r="F824" t="s">
        <v>475</v>
      </c>
      <c r="G824" t="s">
        <v>476</v>
      </c>
      <c r="H824" s="3">
        <v>0</v>
      </c>
      <c r="I824" s="3">
        <v>0</v>
      </c>
      <c r="J824" s="3">
        <v>0</v>
      </c>
      <c r="K824" s="3">
        <v>44.36</v>
      </c>
      <c r="L824" s="3">
        <v>0</v>
      </c>
      <c r="M824" s="3">
        <v>0</v>
      </c>
      <c r="N824" s="3">
        <v>0</v>
      </c>
      <c r="O824" s="3">
        <v>5.7667999999999999</v>
      </c>
      <c r="P824" s="3">
        <v>50.126800000000003</v>
      </c>
      <c r="Q824">
        <v>3</v>
      </c>
    </row>
    <row r="825" spans="1:17" x14ac:dyDescent="0.25">
      <c r="A825" t="s">
        <v>87</v>
      </c>
      <c r="B825" t="s">
        <v>94</v>
      </c>
      <c r="C825" t="s">
        <v>1</v>
      </c>
      <c r="D825" t="s">
        <v>0</v>
      </c>
      <c r="E825">
        <v>61689</v>
      </c>
      <c r="F825" t="s">
        <v>440</v>
      </c>
      <c r="G825" t="s">
        <v>441</v>
      </c>
      <c r="H825" s="3">
        <v>3.37</v>
      </c>
      <c r="I825" s="3">
        <v>0</v>
      </c>
      <c r="J825" s="3">
        <v>0</v>
      </c>
      <c r="K825" s="3">
        <v>28.88</v>
      </c>
      <c r="L825" s="3">
        <v>0</v>
      </c>
      <c r="M825" s="3">
        <v>0</v>
      </c>
      <c r="N825" s="3">
        <v>0</v>
      </c>
      <c r="O825" s="3">
        <v>3.7544</v>
      </c>
      <c r="P825" s="3">
        <v>36.004399999999997</v>
      </c>
      <c r="Q825">
        <v>3</v>
      </c>
    </row>
    <row r="826" spans="1:17" x14ac:dyDescent="0.25">
      <c r="A826" t="s">
        <v>87</v>
      </c>
      <c r="B826" t="s">
        <v>112</v>
      </c>
      <c r="C826" t="s">
        <v>1</v>
      </c>
      <c r="D826" t="s">
        <v>0</v>
      </c>
      <c r="E826">
        <v>2472</v>
      </c>
      <c r="F826" t="s">
        <v>427</v>
      </c>
      <c r="G826" t="s">
        <v>428</v>
      </c>
      <c r="H826" s="3">
        <v>0</v>
      </c>
      <c r="I826" s="3">
        <v>0</v>
      </c>
      <c r="J826" s="3">
        <v>0</v>
      </c>
      <c r="K826" s="3">
        <v>35</v>
      </c>
      <c r="L826" s="3">
        <v>0</v>
      </c>
      <c r="M826" s="3">
        <v>0</v>
      </c>
      <c r="N826" s="3">
        <v>0</v>
      </c>
      <c r="O826" s="3">
        <v>4.55</v>
      </c>
      <c r="P826" s="3">
        <v>39.549999999999997</v>
      </c>
      <c r="Q826">
        <v>3</v>
      </c>
    </row>
    <row r="827" spans="1:17" x14ac:dyDescent="0.25">
      <c r="A827" t="s">
        <v>87</v>
      </c>
      <c r="B827" t="s">
        <v>112</v>
      </c>
      <c r="C827" t="s">
        <v>1</v>
      </c>
      <c r="D827" t="s">
        <v>0</v>
      </c>
      <c r="E827">
        <v>38425</v>
      </c>
      <c r="F827" t="s">
        <v>418</v>
      </c>
      <c r="G827" t="s">
        <v>419</v>
      </c>
      <c r="H827" s="3">
        <v>8.84</v>
      </c>
      <c r="I827" s="3">
        <v>0</v>
      </c>
      <c r="J827" s="3">
        <v>0</v>
      </c>
      <c r="K827" s="3">
        <v>74.790000000000006</v>
      </c>
      <c r="L827" s="3">
        <v>0</v>
      </c>
      <c r="M827" s="3">
        <v>0</v>
      </c>
      <c r="N827" s="3">
        <v>0</v>
      </c>
      <c r="O827" s="3">
        <v>9.7227000000000015</v>
      </c>
      <c r="P827" s="3">
        <v>93.352700000000013</v>
      </c>
      <c r="Q827">
        <v>3</v>
      </c>
    </row>
    <row r="828" spans="1:17" x14ac:dyDescent="0.25">
      <c r="A828" t="s">
        <v>87</v>
      </c>
      <c r="B828" t="s">
        <v>112</v>
      </c>
      <c r="C828" t="s">
        <v>1</v>
      </c>
      <c r="D828" t="s">
        <v>0</v>
      </c>
      <c r="E828">
        <v>38252</v>
      </c>
      <c r="F828" t="s">
        <v>418</v>
      </c>
      <c r="G828" t="s">
        <v>419</v>
      </c>
      <c r="H828" s="3">
        <v>7.6999999999999993</v>
      </c>
      <c r="I828" s="3">
        <v>0</v>
      </c>
      <c r="J828" s="3">
        <v>0</v>
      </c>
      <c r="K828" s="3">
        <v>65.180000000000007</v>
      </c>
      <c r="L828" s="3">
        <v>0</v>
      </c>
      <c r="M828" s="3">
        <v>0</v>
      </c>
      <c r="N828" s="3">
        <v>0</v>
      </c>
      <c r="O828" s="3">
        <v>8.4734000000000016</v>
      </c>
      <c r="P828" s="3">
        <v>81.353400000000008</v>
      </c>
      <c r="Q828">
        <v>3</v>
      </c>
    </row>
    <row r="829" spans="1:17" x14ac:dyDescent="0.25">
      <c r="A829" t="s">
        <v>87</v>
      </c>
      <c r="B829" t="s">
        <v>96</v>
      </c>
      <c r="C829" t="s">
        <v>1</v>
      </c>
      <c r="D829" t="s">
        <v>0</v>
      </c>
      <c r="E829">
        <v>156</v>
      </c>
      <c r="F829" t="s">
        <v>475</v>
      </c>
      <c r="G829" t="s">
        <v>476</v>
      </c>
      <c r="H829" s="3">
        <v>0</v>
      </c>
      <c r="I829" s="3">
        <v>0</v>
      </c>
      <c r="J829" s="3">
        <v>0</v>
      </c>
      <c r="K829" s="3">
        <v>56.72</v>
      </c>
      <c r="L829" s="3">
        <v>0</v>
      </c>
      <c r="M829" s="3">
        <v>0</v>
      </c>
      <c r="N829" s="3">
        <v>0</v>
      </c>
      <c r="O829" s="3">
        <v>7.3735999999999997</v>
      </c>
      <c r="P829" s="3">
        <v>64.093599999999995</v>
      </c>
      <c r="Q829">
        <v>3</v>
      </c>
    </row>
    <row r="830" spans="1:17" x14ac:dyDescent="0.25">
      <c r="A830" t="s">
        <v>87</v>
      </c>
      <c r="B830" t="s">
        <v>96</v>
      </c>
      <c r="C830" t="s">
        <v>1</v>
      </c>
      <c r="D830" t="s">
        <v>0</v>
      </c>
      <c r="E830">
        <v>155</v>
      </c>
      <c r="F830" t="s">
        <v>475</v>
      </c>
      <c r="G830" t="s">
        <v>476</v>
      </c>
      <c r="H830" s="3">
        <v>0</v>
      </c>
      <c r="I830" s="3">
        <v>0</v>
      </c>
      <c r="J830" s="3">
        <v>0</v>
      </c>
      <c r="K830" s="3">
        <v>44.35</v>
      </c>
      <c r="L830" s="3">
        <v>0</v>
      </c>
      <c r="M830" s="3">
        <v>0</v>
      </c>
      <c r="N830" s="3">
        <v>0</v>
      </c>
      <c r="O830" s="3">
        <v>5.7655000000000003</v>
      </c>
      <c r="P830" s="3">
        <v>50.115500000000004</v>
      </c>
      <c r="Q830">
        <v>3</v>
      </c>
    </row>
    <row r="831" spans="1:17" x14ac:dyDescent="0.25">
      <c r="A831" t="s">
        <v>87</v>
      </c>
      <c r="B831" t="s">
        <v>96</v>
      </c>
      <c r="C831" t="s">
        <v>1</v>
      </c>
      <c r="D831" t="s">
        <v>0</v>
      </c>
      <c r="E831">
        <v>17788</v>
      </c>
      <c r="F831" t="s">
        <v>467</v>
      </c>
      <c r="G831" t="s">
        <v>468</v>
      </c>
      <c r="H831" s="3">
        <v>0</v>
      </c>
      <c r="I831" s="3">
        <v>0</v>
      </c>
      <c r="J831" s="3">
        <v>0</v>
      </c>
      <c r="K831" s="3">
        <v>10.5</v>
      </c>
      <c r="L831" s="3">
        <v>0</v>
      </c>
      <c r="M831" s="3">
        <v>0</v>
      </c>
      <c r="N831" s="3">
        <v>0</v>
      </c>
      <c r="O831" s="3">
        <v>1.365</v>
      </c>
      <c r="P831" s="3">
        <v>11.865</v>
      </c>
      <c r="Q831">
        <v>3</v>
      </c>
    </row>
    <row r="832" spans="1:17" x14ac:dyDescent="0.25">
      <c r="A832" t="s">
        <v>87</v>
      </c>
      <c r="B832" t="s">
        <v>96</v>
      </c>
      <c r="C832" t="s">
        <v>1</v>
      </c>
      <c r="D832" t="s">
        <v>0</v>
      </c>
      <c r="E832">
        <v>69291</v>
      </c>
      <c r="F832" t="s">
        <v>440</v>
      </c>
      <c r="G832" t="s">
        <v>441</v>
      </c>
      <c r="H832" s="3">
        <v>7.67</v>
      </c>
      <c r="I832" s="3">
        <v>0</v>
      </c>
      <c r="J832" s="3">
        <v>0</v>
      </c>
      <c r="K832" s="3">
        <v>64.02</v>
      </c>
      <c r="L832" s="3">
        <v>0</v>
      </c>
      <c r="M832" s="3">
        <v>0</v>
      </c>
      <c r="N832" s="3">
        <v>0</v>
      </c>
      <c r="O832" s="3">
        <v>8.3225999999999996</v>
      </c>
      <c r="P832" s="3">
        <v>80.012599999999992</v>
      </c>
      <c r="Q832">
        <v>3</v>
      </c>
    </row>
    <row r="833" spans="1:17" x14ac:dyDescent="0.25">
      <c r="A833" t="s">
        <v>87</v>
      </c>
      <c r="B833" t="s">
        <v>96</v>
      </c>
      <c r="C833" t="s">
        <v>1</v>
      </c>
      <c r="D833" t="s">
        <v>0</v>
      </c>
      <c r="E833">
        <v>159608</v>
      </c>
      <c r="F833" t="s">
        <v>425</v>
      </c>
      <c r="G833" t="s">
        <v>426</v>
      </c>
      <c r="H833" s="3">
        <v>4.83</v>
      </c>
      <c r="I833" s="3">
        <v>0</v>
      </c>
      <c r="J833" s="3">
        <v>0</v>
      </c>
      <c r="K833" s="3">
        <v>40.86</v>
      </c>
      <c r="L833" s="3">
        <v>0</v>
      </c>
      <c r="M833" s="3">
        <v>0</v>
      </c>
      <c r="N833" s="3">
        <v>0</v>
      </c>
      <c r="O833" s="3">
        <v>5.3117999999999999</v>
      </c>
      <c r="P833" s="3">
        <v>51.001799999999996</v>
      </c>
      <c r="Q833">
        <v>3</v>
      </c>
    </row>
    <row r="834" spans="1:17" x14ac:dyDescent="0.25">
      <c r="A834" t="s">
        <v>87</v>
      </c>
      <c r="B834" t="s">
        <v>96</v>
      </c>
      <c r="C834" t="s">
        <v>1</v>
      </c>
      <c r="D834" t="s">
        <v>0</v>
      </c>
      <c r="E834">
        <v>38574</v>
      </c>
      <c r="F834" t="s">
        <v>418</v>
      </c>
      <c r="G834" t="s">
        <v>419</v>
      </c>
      <c r="H834" s="3">
        <v>1.61</v>
      </c>
      <c r="I834" s="3">
        <v>0</v>
      </c>
      <c r="J834" s="3">
        <v>0</v>
      </c>
      <c r="K834" s="3">
        <v>13.62</v>
      </c>
      <c r="L834" s="3">
        <v>0</v>
      </c>
      <c r="M834" s="3">
        <v>0</v>
      </c>
      <c r="N834" s="3">
        <v>0</v>
      </c>
      <c r="O834" s="3">
        <v>1.7706</v>
      </c>
      <c r="P834" s="3">
        <v>17.000599999999999</v>
      </c>
      <c r="Q834">
        <v>3</v>
      </c>
    </row>
    <row r="835" spans="1:17" x14ac:dyDescent="0.25">
      <c r="A835" t="s">
        <v>87</v>
      </c>
      <c r="B835" t="s">
        <v>108</v>
      </c>
      <c r="C835" t="s">
        <v>1</v>
      </c>
      <c r="D835" t="s">
        <v>0</v>
      </c>
      <c r="E835">
        <v>179</v>
      </c>
      <c r="F835" t="s">
        <v>495</v>
      </c>
      <c r="G835" t="s">
        <v>496</v>
      </c>
      <c r="H835" s="3">
        <v>0</v>
      </c>
      <c r="I835" s="3">
        <v>0</v>
      </c>
      <c r="J835" s="3">
        <v>0</v>
      </c>
      <c r="K835" s="3">
        <v>901.95</v>
      </c>
      <c r="L835" s="3">
        <v>0</v>
      </c>
      <c r="M835" s="3">
        <v>0</v>
      </c>
      <c r="N835" s="3">
        <v>0</v>
      </c>
      <c r="O835" s="3">
        <v>117.25350000000002</v>
      </c>
      <c r="P835" s="3">
        <v>1019.2035000000001</v>
      </c>
      <c r="Q835">
        <v>3</v>
      </c>
    </row>
    <row r="836" spans="1:17" x14ac:dyDescent="0.25">
      <c r="A836" t="s">
        <v>87</v>
      </c>
      <c r="B836" t="s">
        <v>108</v>
      </c>
      <c r="C836" t="s">
        <v>1</v>
      </c>
      <c r="D836" t="s">
        <v>0</v>
      </c>
      <c r="E836">
        <v>170</v>
      </c>
      <c r="F836" t="s">
        <v>475</v>
      </c>
      <c r="G836" t="s">
        <v>476</v>
      </c>
      <c r="H836" s="3">
        <v>0</v>
      </c>
      <c r="I836" s="3">
        <v>0</v>
      </c>
      <c r="J836" s="3">
        <v>0</v>
      </c>
      <c r="K836" s="3">
        <v>56.26</v>
      </c>
      <c r="L836" s="3">
        <v>0</v>
      </c>
      <c r="M836" s="3">
        <v>0</v>
      </c>
      <c r="N836" s="3">
        <v>0</v>
      </c>
      <c r="O836" s="3">
        <v>7.3137999999999996</v>
      </c>
      <c r="P836" s="3">
        <v>63.573799999999999</v>
      </c>
      <c r="Q836">
        <v>3</v>
      </c>
    </row>
    <row r="837" spans="1:17" x14ac:dyDescent="0.25">
      <c r="A837" t="s">
        <v>87</v>
      </c>
      <c r="B837" t="s">
        <v>108</v>
      </c>
      <c r="C837" t="s">
        <v>1</v>
      </c>
      <c r="D837" t="s">
        <v>0</v>
      </c>
      <c r="E837">
        <v>159782</v>
      </c>
      <c r="F837" t="s">
        <v>425</v>
      </c>
      <c r="G837" t="s">
        <v>426</v>
      </c>
      <c r="H837" s="3">
        <v>10.89</v>
      </c>
      <c r="I837" s="3">
        <v>0</v>
      </c>
      <c r="J837" s="3">
        <v>0</v>
      </c>
      <c r="K837" s="3">
        <v>92.13</v>
      </c>
      <c r="L837" s="3">
        <v>0</v>
      </c>
      <c r="M837" s="3">
        <v>0</v>
      </c>
      <c r="N837" s="3">
        <v>0</v>
      </c>
      <c r="O837" s="3">
        <v>11.976900000000001</v>
      </c>
      <c r="P837" s="3">
        <v>114.9969</v>
      </c>
      <c r="Q837">
        <v>3</v>
      </c>
    </row>
    <row r="838" spans="1:17" x14ac:dyDescent="0.25">
      <c r="A838" t="s">
        <v>87</v>
      </c>
      <c r="B838" t="s">
        <v>108</v>
      </c>
      <c r="C838" t="s">
        <v>1</v>
      </c>
      <c r="D838" t="s">
        <v>0</v>
      </c>
      <c r="E838">
        <v>39004</v>
      </c>
      <c r="F838" t="s">
        <v>418</v>
      </c>
      <c r="G838" t="s">
        <v>419</v>
      </c>
      <c r="H838" s="3">
        <v>8.870000000000001</v>
      </c>
      <c r="I838" s="3">
        <v>0</v>
      </c>
      <c r="J838" s="3">
        <v>0</v>
      </c>
      <c r="K838" s="3">
        <v>75.099999999999994</v>
      </c>
      <c r="L838" s="3">
        <v>0</v>
      </c>
      <c r="M838" s="3">
        <v>0</v>
      </c>
      <c r="N838" s="3">
        <v>0</v>
      </c>
      <c r="O838" s="3">
        <v>9.7629999999999999</v>
      </c>
      <c r="P838" s="3">
        <v>93.733000000000004</v>
      </c>
      <c r="Q838">
        <v>3</v>
      </c>
    </row>
    <row r="839" spans="1:17" x14ac:dyDescent="0.25">
      <c r="A839" t="s">
        <v>87</v>
      </c>
      <c r="B839" t="s">
        <v>108</v>
      </c>
      <c r="C839" t="s">
        <v>1</v>
      </c>
      <c r="D839" t="s">
        <v>0</v>
      </c>
      <c r="E839">
        <v>38991</v>
      </c>
      <c r="F839" t="s">
        <v>418</v>
      </c>
      <c r="G839" t="s">
        <v>419</v>
      </c>
      <c r="H839" s="3">
        <v>2.8499999999999996</v>
      </c>
      <c r="I839" s="3">
        <v>0</v>
      </c>
      <c r="J839" s="3">
        <v>0</v>
      </c>
      <c r="K839" s="3">
        <v>24.1</v>
      </c>
      <c r="L839" s="3">
        <v>0</v>
      </c>
      <c r="M839" s="3">
        <v>0</v>
      </c>
      <c r="N839" s="3">
        <v>0</v>
      </c>
      <c r="O839" s="3">
        <v>3.1330000000000005</v>
      </c>
      <c r="P839" s="3">
        <v>30.083000000000002</v>
      </c>
      <c r="Q839">
        <v>3</v>
      </c>
    </row>
    <row r="840" spans="1:17" x14ac:dyDescent="0.25">
      <c r="A840" t="s">
        <v>87</v>
      </c>
      <c r="B840" t="s">
        <v>120</v>
      </c>
      <c r="C840" t="s">
        <v>1</v>
      </c>
      <c r="D840" t="s">
        <v>0</v>
      </c>
      <c r="E840">
        <v>11297</v>
      </c>
      <c r="F840" t="s">
        <v>453</v>
      </c>
      <c r="G840" t="s">
        <v>454</v>
      </c>
      <c r="H840" s="3">
        <v>0</v>
      </c>
      <c r="I840" s="3">
        <v>0</v>
      </c>
      <c r="J840" s="3">
        <v>0</v>
      </c>
      <c r="K840" s="3">
        <v>8.4600000000000009</v>
      </c>
      <c r="L840" s="3">
        <v>0</v>
      </c>
      <c r="M840" s="3">
        <v>0</v>
      </c>
      <c r="N840" s="3">
        <v>0</v>
      </c>
      <c r="O840" s="3">
        <v>1.0998000000000001</v>
      </c>
      <c r="P840" s="3">
        <v>9.559800000000001</v>
      </c>
      <c r="Q840">
        <v>3</v>
      </c>
    </row>
    <row r="841" spans="1:17" x14ac:dyDescent="0.25">
      <c r="A841" t="s">
        <v>87</v>
      </c>
      <c r="B841" t="s">
        <v>120</v>
      </c>
      <c r="C841" t="s">
        <v>1</v>
      </c>
      <c r="D841" t="s">
        <v>0</v>
      </c>
      <c r="E841">
        <v>44758</v>
      </c>
      <c r="F841" t="s">
        <v>455</v>
      </c>
      <c r="G841" t="s">
        <v>456</v>
      </c>
      <c r="H841" s="3">
        <v>8.1</v>
      </c>
      <c r="I841" s="3">
        <v>0</v>
      </c>
      <c r="J841" s="3">
        <v>0</v>
      </c>
      <c r="K841" s="3">
        <v>68.069999999999993</v>
      </c>
      <c r="L841" s="3">
        <v>0</v>
      </c>
      <c r="M841" s="3">
        <v>0</v>
      </c>
      <c r="N841" s="3">
        <v>0</v>
      </c>
      <c r="O841" s="3">
        <v>8.8491</v>
      </c>
      <c r="P841" s="3">
        <v>85.01909999999998</v>
      </c>
      <c r="Q841">
        <v>3</v>
      </c>
    </row>
    <row r="842" spans="1:17" x14ac:dyDescent="0.25">
      <c r="A842" t="s">
        <v>87</v>
      </c>
      <c r="B842" t="s">
        <v>97</v>
      </c>
      <c r="C842" t="s">
        <v>1</v>
      </c>
      <c r="D842" t="s">
        <v>0</v>
      </c>
      <c r="E842">
        <v>953</v>
      </c>
      <c r="F842" t="s">
        <v>493</v>
      </c>
      <c r="G842" t="s">
        <v>494</v>
      </c>
      <c r="H842" s="3">
        <v>0</v>
      </c>
      <c r="I842" s="3">
        <v>0</v>
      </c>
      <c r="J842" s="3">
        <v>0</v>
      </c>
      <c r="K842" s="3">
        <v>2433.63</v>
      </c>
      <c r="L842" s="3">
        <v>0</v>
      </c>
      <c r="M842" s="3">
        <v>0</v>
      </c>
      <c r="N842" s="3">
        <v>0</v>
      </c>
      <c r="O842" s="3">
        <v>316.37190000000004</v>
      </c>
      <c r="P842" s="3">
        <v>2750.0019000000002</v>
      </c>
      <c r="Q842">
        <v>3</v>
      </c>
    </row>
    <row r="843" spans="1:17" x14ac:dyDescent="0.25">
      <c r="A843" t="s">
        <v>87</v>
      </c>
      <c r="B843" t="s">
        <v>97</v>
      </c>
      <c r="C843" t="s">
        <v>1</v>
      </c>
      <c r="D843" t="s">
        <v>0</v>
      </c>
      <c r="E843">
        <v>184</v>
      </c>
      <c r="F843" t="s">
        <v>475</v>
      </c>
      <c r="G843" t="s">
        <v>476</v>
      </c>
      <c r="H843" s="3">
        <v>0</v>
      </c>
      <c r="I843" s="3">
        <v>0</v>
      </c>
      <c r="J843" s="3">
        <v>0</v>
      </c>
      <c r="K843" s="3">
        <v>56.26</v>
      </c>
      <c r="L843" s="3">
        <v>0</v>
      </c>
      <c r="M843" s="3">
        <v>0</v>
      </c>
      <c r="N843" s="3">
        <v>0</v>
      </c>
      <c r="O843" s="3">
        <v>7.3137999999999996</v>
      </c>
      <c r="P843" s="3">
        <v>63.573799999999999</v>
      </c>
      <c r="Q843">
        <v>3</v>
      </c>
    </row>
    <row r="844" spans="1:17" x14ac:dyDescent="0.25">
      <c r="A844" t="s">
        <v>87</v>
      </c>
      <c r="B844" t="s">
        <v>97</v>
      </c>
      <c r="C844" t="s">
        <v>1</v>
      </c>
      <c r="D844" t="s">
        <v>0</v>
      </c>
      <c r="E844">
        <v>177</v>
      </c>
      <c r="F844" t="s">
        <v>475</v>
      </c>
      <c r="G844" t="s">
        <v>476</v>
      </c>
      <c r="H844" s="3">
        <v>0</v>
      </c>
      <c r="I844" s="3">
        <v>0</v>
      </c>
      <c r="J844" s="3">
        <v>0</v>
      </c>
      <c r="K844" s="3">
        <v>35.1</v>
      </c>
      <c r="L844" s="3">
        <v>0</v>
      </c>
      <c r="M844" s="3">
        <v>0</v>
      </c>
      <c r="N844" s="3">
        <v>0</v>
      </c>
      <c r="O844" s="3">
        <v>4.5630000000000006</v>
      </c>
      <c r="P844" s="3">
        <v>39.663000000000004</v>
      </c>
      <c r="Q844">
        <v>3</v>
      </c>
    </row>
    <row r="845" spans="1:17" x14ac:dyDescent="0.25">
      <c r="A845" t="s">
        <v>87</v>
      </c>
      <c r="B845" t="s">
        <v>97</v>
      </c>
      <c r="C845" t="s">
        <v>1</v>
      </c>
      <c r="D845" t="s">
        <v>0</v>
      </c>
      <c r="E845">
        <v>178</v>
      </c>
      <c r="F845" t="s">
        <v>475</v>
      </c>
      <c r="G845" t="s">
        <v>476</v>
      </c>
      <c r="H845" s="3">
        <v>0</v>
      </c>
      <c r="I845" s="3">
        <v>0</v>
      </c>
      <c r="J845" s="3">
        <v>0</v>
      </c>
      <c r="K845" s="3">
        <v>34.53</v>
      </c>
      <c r="L845" s="3">
        <v>0</v>
      </c>
      <c r="M845" s="3">
        <v>0</v>
      </c>
      <c r="N845" s="3">
        <v>0</v>
      </c>
      <c r="O845" s="3">
        <v>4.4889000000000001</v>
      </c>
      <c r="P845" s="3">
        <v>39.018900000000002</v>
      </c>
      <c r="Q845">
        <v>3</v>
      </c>
    </row>
    <row r="846" spans="1:17" x14ac:dyDescent="0.25">
      <c r="A846" t="s">
        <v>87</v>
      </c>
      <c r="B846" t="s">
        <v>97</v>
      </c>
      <c r="C846" t="s">
        <v>1</v>
      </c>
      <c r="D846" t="s">
        <v>0</v>
      </c>
      <c r="E846">
        <v>316121</v>
      </c>
      <c r="F846" t="s">
        <v>103</v>
      </c>
      <c r="G846" t="s">
        <v>104</v>
      </c>
      <c r="H846" s="3">
        <v>0</v>
      </c>
      <c r="I846" s="3">
        <v>0</v>
      </c>
      <c r="J846" s="3">
        <v>0</v>
      </c>
      <c r="K846" s="3">
        <v>59.07</v>
      </c>
      <c r="L846" s="3">
        <v>0</v>
      </c>
      <c r="M846" s="3">
        <v>0</v>
      </c>
      <c r="N846" s="3">
        <v>0</v>
      </c>
      <c r="O846" s="3">
        <v>7.6791</v>
      </c>
      <c r="P846" s="3">
        <v>66.749099999999999</v>
      </c>
      <c r="Q846">
        <v>3</v>
      </c>
    </row>
    <row r="847" spans="1:17" x14ac:dyDescent="0.25">
      <c r="A847" t="s">
        <v>87</v>
      </c>
      <c r="B847" t="s">
        <v>97</v>
      </c>
      <c r="C847" t="s">
        <v>1</v>
      </c>
      <c r="D847" t="s">
        <v>0</v>
      </c>
      <c r="E847">
        <v>39111</v>
      </c>
      <c r="F847" t="s">
        <v>418</v>
      </c>
      <c r="G847" t="s">
        <v>419</v>
      </c>
      <c r="H847" s="3">
        <v>8.43</v>
      </c>
      <c r="I847" s="3">
        <v>0</v>
      </c>
      <c r="J847" s="3">
        <v>0</v>
      </c>
      <c r="K847" s="3">
        <v>71.44</v>
      </c>
      <c r="L847" s="3">
        <v>0</v>
      </c>
      <c r="M847" s="3">
        <v>0</v>
      </c>
      <c r="N847" s="3">
        <v>0</v>
      </c>
      <c r="O847" s="3">
        <v>9.2872000000000003</v>
      </c>
      <c r="P847" s="3">
        <v>89.157200000000003</v>
      </c>
      <c r="Q847">
        <v>3</v>
      </c>
    </row>
    <row r="848" spans="1:17" x14ac:dyDescent="0.25">
      <c r="A848" t="s">
        <v>87</v>
      </c>
      <c r="B848" t="s">
        <v>121</v>
      </c>
      <c r="C848" t="s">
        <v>1</v>
      </c>
      <c r="D848" t="s">
        <v>0</v>
      </c>
      <c r="E848">
        <v>201</v>
      </c>
      <c r="F848" t="s">
        <v>489</v>
      </c>
      <c r="G848" t="s">
        <v>490</v>
      </c>
      <c r="H848" s="3">
        <v>0</v>
      </c>
      <c r="I848" s="3">
        <v>0</v>
      </c>
      <c r="J848" s="3">
        <v>0</v>
      </c>
      <c r="K848" s="3">
        <v>5.31</v>
      </c>
      <c r="L848" s="3">
        <v>0</v>
      </c>
      <c r="M848" s="3">
        <v>0</v>
      </c>
      <c r="N848" s="3">
        <v>0</v>
      </c>
      <c r="O848" s="3">
        <v>0.69030000000000002</v>
      </c>
      <c r="P848" s="3">
        <v>6.0002999999999993</v>
      </c>
      <c r="Q848">
        <v>3</v>
      </c>
    </row>
    <row r="849" spans="1:17" x14ac:dyDescent="0.25">
      <c r="A849" t="s">
        <v>87</v>
      </c>
      <c r="B849" t="s">
        <v>98</v>
      </c>
      <c r="C849" t="s">
        <v>1</v>
      </c>
      <c r="D849" t="s">
        <v>0</v>
      </c>
      <c r="E849">
        <v>189</v>
      </c>
      <c r="F849" t="s">
        <v>475</v>
      </c>
      <c r="G849" t="s">
        <v>476</v>
      </c>
      <c r="H849" s="3">
        <v>0</v>
      </c>
      <c r="I849" s="3">
        <v>0</v>
      </c>
      <c r="J849" s="3">
        <v>0</v>
      </c>
      <c r="K849" s="3">
        <v>48.57</v>
      </c>
      <c r="L849" s="3">
        <v>0</v>
      </c>
      <c r="M849" s="3">
        <v>0</v>
      </c>
      <c r="N849" s="3">
        <v>0</v>
      </c>
      <c r="O849" s="3">
        <v>6.3140999999999998</v>
      </c>
      <c r="P849" s="3">
        <v>54.884100000000004</v>
      </c>
      <c r="Q849">
        <v>3</v>
      </c>
    </row>
    <row r="850" spans="1:17" x14ac:dyDescent="0.25">
      <c r="A850" t="s">
        <v>87</v>
      </c>
      <c r="B850" t="s">
        <v>98</v>
      </c>
      <c r="C850" t="s">
        <v>1</v>
      </c>
      <c r="D850" t="s">
        <v>0</v>
      </c>
      <c r="E850">
        <v>160154</v>
      </c>
      <c r="F850" t="s">
        <v>425</v>
      </c>
      <c r="G850" t="s">
        <v>426</v>
      </c>
      <c r="H850" s="3">
        <v>2.77</v>
      </c>
      <c r="I850" s="3">
        <v>0</v>
      </c>
      <c r="J850" s="3">
        <v>0</v>
      </c>
      <c r="K850" s="3">
        <v>23.4</v>
      </c>
      <c r="L850" s="3">
        <v>0</v>
      </c>
      <c r="M850" s="3">
        <v>0</v>
      </c>
      <c r="N850" s="3">
        <v>0</v>
      </c>
      <c r="O850" s="3">
        <v>3.0419999999999998</v>
      </c>
      <c r="P850" s="3">
        <v>29.211999999999996</v>
      </c>
      <c r="Q850">
        <v>3</v>
      </c>
    </row>
    <row r="851" spans="1:17" x14ac:dyDescent="0.25">
      <c r="A851" t="s">
        <v>87</v>
      </c>
      <c r="B851" t="s">
        <v>98</v>
      </c>
      <c r="C851" t="s">
        <v>1</v>
      </c>
      <c r="D851" t="s">
        <v>0</v>
      </c>
      <c r="E851">
        <v>160155</v>
      </c>
      <c r="F851" t="s">
        <v>425</v>
      </c>
      <c r="G851" t="s">
        <v>426</v>
      </c>
      <c r="H851" s="3">
        <v>5.3100000000000005</v>
      </c>
      <c r="I851" s="3">
        <v>0</v>
      </c>
      <c r="J851" s="3">
        <v>0</v>
      </c>
      <c r="K851" s="3">
        <v>44.95</v>
      </c>
      <c r="L851" s="3">
        <v>0</v>
      </c>
      <c r="M851" s="3">
        <v>0</v>
      </c>
      <c r="N851" s="3">
        <v>0</v>
      </c>
      <c r="O851" s="3">
        <v>5.8435000000000006</v>
      </c>
      <c r="P851" s="3">
        <v>56.103500000000004</v>
      </c>
      <c r="Q851">
        <v>3</v>
      </c>
    </row>
    <row r="852" spans="1:17" x14ac:dyDescent="0.25">
      <c r="A852" t="s">
        <v>87</v>
      </c>
      <c r="B852" t="s">
        <v>424</v>
      </c>
      <c r="C852" t="s">
        <v>1</v>
      </c>
      <c r="D852" t="s">
        <v>0</v>
      </c>
      <c r="E852">
        <v>36821</v>
      </c>
      <c r="F852" t="s">
        <v>418</v>
      </c>
      <c r="G852" t="s">
        <v>419</v>
      </c>
      <c r="H852" s="3">
        <v>12.03</v>
      </c>
      <c r="I852" s="3">
        <v>0</v>
      </c>
      <c r="J852" s="3">
        <v>0</v>
      </c>
      <c r="K852" s="3">
        <v>101.8</v>
      </c>
      <c r="L852" s="3">
        <v>0</v>
      </c>
      <c r="M852" s="3">
        <v>0</v>
      </c>
      <c r="N852" s="3">
        <v>0</v>
      </c>
      <c r="O852" s="3">
        <v>13.234</v>
      </c>
      <c r="P852" s="3">
        <v>127.06399999999999</v>
      </c>
      <c r="Q852">
        <v>3</v>
      </c>
    </row>
    <row r="853" spans="1:17" x14ac:dyDescent="0.25">
      <c r="A853" t="s">
        <v>87</v>
      </c>
      <c r="B853" t="s">
        <v>293</v>
      </c>
      <c r="C853" t="s">
        <v>1</v>
      </c>
      <c r="D853" t="s">
        <v>0</v>
      </c>
      <c r="E853">
        <v>112843</v>
      </c>
      <c r="F853" t="s">
        <v>491</v>
      </c>
      <c r="G853" t="s">
        <v>492</v>
      </c>
      <c r="H853" s="3">
        <v>0</v>
      </c>
      <c r="I853" s="3">
        <v>0</v>
      </c>
      <c r="J853" s="3">
        <v>0</v>
      </c>
      <c r="K853" s="3">
        <v>23.83</v>
      </c>
      <c r="L853" s="3">
        <v>0</v>
      </c>
      <c r="M853" s="3">
        <v>0</v>
      </c>
      <c r="N853" s="3">
        <v>0</v>
      </c>
      <c r="O853" s="3">
        <v>3.0979000000000001</v>
      </c>
      <c r="P853" s="3">
        <v>26.927899999999998</v>
      </c>
      <c r="Q853">
        <v>3</v>
      </c>
    </row>
    <row r="854" spans="1:17" x14ac:dyDescent="0.25">
      <c r="A854" t="s">
        <v>87</v>
      </c>
      <c r="B854" t="s">
        <v>122</v>
      </c>
      <c r="C854" t="s">
        <v>1</v>
      </c>
      <c r="D854" t="s">
        <v>0</v>
      </c>
      <c r="E854">
        <v>111456</v>
      </c>
      <c r="F854" t="s">
        <v>453</v>
      </c>
      <c r="G854" t="s">
        <v>454</v>
      </c>
      <c r="H854" s="3">
        <v>0</v>
      </c>
      <c r="I854" s="3">
        <v>0</v>
      </c>
      <c r="J854" s="3">
        <v>0</v>
      </c>
      <c r="K854" s="3">
        <v>10.8</v>
      </c>
      <c r="L854" s="3">
        <v>0</v>
      </c>
      <c r="M854" s="3">
        <v>0</v>
      </c>
      <c r="N854" s="3">
        <v>0</v>
      </c>
      <c r="O854" s="3">
        <v>1.4040000000000001</v>
      </c>
      <c r="P854" s="3">
        <v>12.204000000000001</v>
      </c>
      <c r="Q854">
        <v>3</v>
      </c>
    </row>
    <row r="855" spans="1:17" x14ac:dyDescent="0.25">
      <c r="A855" t="s">
        <v>87</v>
      </c>
      <c r="B855" t="s">
        <v>106</v>
      </c>
      <c r="C855" t="s">
        <v>1</v>
      </c>
      <c r="D855" t="s">
        <v>0</v>
      </c>
      <c r="E855">
        <v>200</v>
      </c>
      <c r="F855" t="s">
        <v>475</v>
      </c>
      <c r="G855" t="s">
        <v>476</v>
      </c>
      <c r="H855" s="3">
        <v>0</v>
      </c>
      <c r="I855" s="3">
        <v>0</v>
      </c>
      <c r="J855" s="3">
        <v>0</v>
      </c>
      <c r="K855" s="3">
        <v>56.26</v>
      </c>
      <c r="L855" s="3">
        <v>0</v>
      </c>
      <c r="M855" s="3">
        <v>0</v>
      </c>
      <c r="N855" s="3">
        <v>0</v>
      </c>
      <c r="O855" s="3">
        <v>7.3137999999999996</v>
      </c>
      <c r="P855" s="3">
        <v>63.573799999999999</v>
      </c>
      <c r="Q855">
        <v>3</v>
      </c>
    </row>
    <row r="856" spans="1:17" x14ac:dyDescent="0.25">
      <c r="A856" t="s">
        <v>87</v>
      </c>
      <c r="B856" t="s">
        <v>106</v>
      </c>
      <c r="C856" t="s">
        <v>1</v>
      </c>
      <c r="D856" t="s">
        <v>0</v>
      </c>
      <c r="E856">
        <v>198</v>
      </c>
      <c r="F856" t="s">
        <v>475</v>
      </c>
      <c r="G856" t="s">
        <v>476</v>
      </c>
      <c r="H856" s="3">
        <v>0</v>
      </c>
      <c r="I856" s="3">
        <v>0</v>
      </c>
      <c r="J856" s="3">
        <v>0</v>
      </c>
      <c r="K856" s="3">
        <v>56.26</v>
      </c>
      <c r="L856" s="3">
        <v>0</v>
      </c>
      <c r="M856" s="3">
        <v>0</v>
      </c>
      <c r="N856" s="3">
        <v>0</v>
      </c>
      <c r="O856" s="3">
        <v>7.3137999999999996</v>
      </c>
      <c r="P856" s="3">
        <v>63.573799999999999</v>
      </c>
      <c r="Q856">
        <v>3</v>
      </c>
    </row>
    <row r="857" spans="1:17" x14ac:dyDescent="0.25">
      <c r="A857" t="s">
        <v>87</v>
      </c>
      <c r="B857" t="s">
        <v>106</v>
      </c>
      <c r="C857" t="s">
        <v>1</v>
      </c>
      <c r="D857" t="s">
        <v>0</v>
      </c>
      <c r="E857">
        <v>82397</v>
      </c>
      <c r="F857" t="s">
        <v>459</v>
      </c>
      <c r="G857" t="s">
        <v>460</v>
      </c>
      <c r="H857" s="3">
        <v>4.28</v>
      </c>
      <c r="I857" s="3">
        <v>0</v>
      </c>
      <c r="J857" s="3">
        <v>0</v>
      </c>
      <c r="K857" s="3">
        <v>36.24</v>
      </c>
      <c r="L857" s="3">
        <v>0</v>
      </c>
      <c r="M857" s="3">
        <v>0</v>
      </c>
      <c r="N857" s="3">
        <v>0</v>
      </c>
      <c r="O857" s="3">
        <v>4.7112000000000007</v>
      </c>
      <c r="P857" s="3">
        <v>45.231200000000001</v>
      </c>
      <c r="Q857">
        <v>3</v>
      </c>
    </row>
    <row r="858" spans="1:17" x14ac:dyDescent="0.25">
      <c r="A858" t="s">
        <v>87</v>
      </c>
      <c r="B858" t="s">
        <v>106</v>
      </c>
      <c r="C858" t="s">
        <v>1</v>
      </c>
      <c r="D858" t="s">
        <v>0</v>
      </c>
      <c r="E858">
        <v>39729</v>
      </c>
      <c r="F858" t="s">
        <v>418</v>
      </c>
      <c r="G858" t="s">
        <v>419</v>
      </c>
      <c r="H858" s="3">
        <v>9.4599999999999991</v>
      </c>
      <c r="I858" s="3">
        <v>0</v>
      </c>
      <c r="J858" s="3">
        <v>0</v>
      </c>
      <c r="K858" s="3">
        <v>80.08</v>
      </c>
      <c r="L858" s="3">
        <v>0</v>
      </c>
      <c r="M858" s="3">
        <v>0</v>
      </c>
      <c r="N858" s="3">
        <v>0</v>
      </c>
      <c r="O858" s="3">
        <v>10.410400000000001</v>
      </c>
      <c r="P858" s="3">
        <v>99.950399999999988</v>
      </c>
      <c r="Q858">
        <v>3</v>
      </c>
    </row>
    <row r="859" spans="1:17" x14ac:dyDescent="0.25">
      <c r="A859" t="s">
        <v>87</v>
      </c>
      <c r="B859" t="s">
        <v>100</v>
      </c>
      <c r="C859" t="s">
        <v>1</v>
      </c>
      <c r="D859" t="s">
        <v>0</v>
      </c>
      <c r="E859">
        <v>402</v>
      </c>
      <c r="F859" t="s">
        <v>435</v>
      </c>
      <c r="G859" t="s">
        <v>436</v>
      </c>
      <c r="H859" s="3">
        <v>0</v>
      </c>
      <c r="I859" s="3">
        <v>0</v>
      </c>
      <c r="J859" s="3">
        <v>0</v>
      </c>
      <c r="K859" s="3">
        <v>1666.4</v>
      </c>
      <c r="L859" s="3">
        <v>0</v>
      </c>
      <c r="M859" s="3">
        <v>0</v>
      </c>
      <c r="N859" s="3">
        <v>0</v>
      </c>
      <c r="O859" s="3">
        <v>216.63200000000003</v>
      </c>
      <c r="P859" s="3">
        <v>1883.0320000000002</v>
      </c>
      <c r="Q859">
        <v>3</v>
      </c>
    </row>
    <row r="860" spans="1:17" x14ac:dyDescent="0.25">
      <c r="A860" t="s">
        <v>87</v>
      </c>
      <c r="B860" t="s">
        <v>100</v>
      </c>
      <c r="C860" t="s">
        <v>1</v>
      </c>
      <c r="D860" t="s">
        <v>0</v>
      </c>
      <c r="E860">
        <v>3635899</v>
      </c>
      <c r="F860" t="s">
        <v>433</v>
      </c>
      <c r="G860" t="s">
        <v>434</v>
      </c>
      <c r="H860" s="3">
        <v>0</v>
      </c>
      <c r="I860" s="3">
        <v>0</v>
      </c>
      <c r="J860" s="3">
        <v>0</v>
      </c>
      <c r="K860" s="3">
        <v>82.71</v>
      </c>
      <c r="L860" s="3">
        <v>0</v>
      </c>
      <c r="M860" s="3">
        <v>0</v>
      </c>
      <c r="N860" s="3">
        <v>0</v>
      </c>
      <c r="O860" s="3">
        <v>10.7523</v>
      </c>
      <c r="P860" s="3">
        <v>93.462299999999999</v>
      </c>
      <c r="Q860">
        <v>3</v>
      </c>
    </row>
    <row r="861" spans="1:17" x14ac:dyDescent="0.25">
      <c r="A861" t="s">
        <v>87</v>
      </c>
      <c r="B861" t="s">
        <v>99</v>
      </c>
      <c r="C861" t="s">
        <v>1</v>
      </c>
      <c r="D861" t="s">
        <v>0</v>
      </c>
      <c r="E861">
        <v>211</v>
      </c>
      <c r="F861" t="s">
        <v>475</v>
      </c>
      <c r="G861" t="s">
        <v>476</v>
      </c>
      <c r="H861" s="3">
        <v>0</v>
      </c>
      <c r="I861" s="3">
        <v>0</v>
      </c>
      <c r="J861" s="3">
        <v>0</v>
      </c>
      <c r="K861" s="3">
        <v>55.03</v>
      </c>
      <c r="L861" s="3">
        <v>0</v>
      </c>
      <c r="M861" s="3">
        <v>0</v>
      </c>
      <c r="N861" s="3">
        <v>0</v>
      </c>
      <c r="O861" s="3">
        <v>7.1539000000000001</v>
      </c>
      <c r="P861" s="3">
        <v>62.183900000000001</v>
      </c>
      <c r="Q861">
        <v>3</v>
      </c>
    </row>
    <row r="862" spans="1:17" x14ac:dyDescent="0.25">
      <c r="A862" t="s">
        <v>87</v>
      </c>
      <c r="B862" t="s">
        <v>99</v>
      </c>
      <c r="C862" t="s">
        <v>1</v>
      </c>
      <c r="D862" t="s">
        <v>0</v>
      </c>
      <c r="E862">
        <v>201</v>
      </c>
      <c r="F862" t="s">
        <v>475</v>
      </c>
      <c r="G862" t="s">
        <v>476</v>
      </c>
      <c r="H862" s="3">
        <v>0</v>
      </c>
      <c r="I862" s="3">
        <v>0</v>
      </c>
      <c r="J862" s="3">
        <v>0</v>
      </c>
      <c r="K862" s="3">
        <v>41.55</v>
      </c>
      <c r="L862" s="3">
        <v>0</v>
      </c>
      <c r="M862" s="3">
        <v>0</v>
      </c>
      <c r="N862" s="3">
        <v>0</v>
      </c>
      <c r="O862" s="3">
        <v>5.4014999999999995</v>
      </c>
      <c r="P862" s="3">
        <v>46.951499999999996</v>
      </c>
      <c r="Q862">
        <v>3</v>
      </c>
    </row>
    <row r="863" spans="1:17" x14ac:dyDescent="0.25">
      <c r="A863" t="s">
        <v>87</v>
      </c>
      <c r="B863" t="s">
        <v>99</v>
      </c>
      <c r="C863" t="s">
        <v>1</v>
      </c>
      <c r="D863" t="s">
        <v>0</v>
      </c>
      <c r="E863">
        <v>12567</v>
      </c>
      <c r="F863" t="s">
        <v>453</v>
      </c>
      <c r="G863" t="s">
        <v>454</v>
      </c>
      <c r="H863" s="3">
        <v>0</v>
      </c>
      <c r="I863" s="3">
        <v>0</v>
      </c>
      <c r="J863" s="3">
        <v>0</v>
      </c>
      <c r="K863" s="3">
        <v>15.3</v>
      </c>
      <c r="L863" s="3">
        <v>0</v>
      </c>
      <c r="M863" s="3">
        <v>0</v>
      </c>
      <c r="N863" s="3">
        <v>0</v>
      </c>
      <c r="O863" s="3">
        <v>1.9890000000000001</v>
      </c>
      <c r="P863" s="3">
        <v>17.289000000000001</v>
      </c>
      <c r="Q863">
        <v>3</v>
      </c>
    </row>
    <row r="864" spans="1:17" x14ac:dyDescent="0.25">
      <c r="A864" t="s">
        <v>87</v>
      </c>
      <c r="B864" t="s">
        <v>99</v>
      </c>
      <c r="C864" t="s">
        <v>1</v>
      </c>
      <c r="D864" t="s">
        <v>0</v>
      </c>
      <c r="E864">
        <v>423</v>
      </c>
      <c r="F864" t="s">
        <v>435</v>
      </c>
      <c r="G864" t="s">
        <v>436</v>
      </c>
      <c r="H864" s="3">
        <v>0</v>
      </c>
      <c r="I864" s="3">
        <v>0</v>
      </c>
      <c r="J864" s="3">
        <v>0</v>
      </c>
      <c r="K864" s="3">
        <v>1246</v>
      </c>
      <c r="L864" s="3">
        <v>0</v>
      </c>
      <c r="M864" s="3">
        <v>0</v>
      </c>
      <c r="N864" s="3">
        <v>0</v>
      </c>
      <c r="O864" s="3">
        <v>161.98000000000002</v>
      </c>
      <c r="P864" s="3">
        <v>1407.98</v>
      </c>
      <c r="Q864">
        <v>3</v>
      </c>
    </row>
    <row r="865" spans="1:17" x14ac:dyDescent="0.25">
      <c r="A865" t="s">
        <v>87</v>
      </c>
      <c r="B865" t="s">
        <v>99</v>
      </c>
      <c r="C865" t="s">
        <v>1</v>
      </c>
      <c r="D865" t="s">
        <v>0</v>
      </c>
      <c r="E865">
        <v>475094</v>
      </c>
      <c r="F865" t="s">
        <v>113</v>
      </c>
      <c r="G865" t="s">
        <v>114</v>
      </c>
      <c r="H865" s="3">
        <v>0</v>
      </c>
      <c r="I865" s="3">
        <v>0</v>
      </c>
      <c r="J865" s="3">
        <v>0</v>
      </c>
      <c r="K865" s="3">
        <v>5.75</v>
      </c>
      <c r="L865" s="3">
        <v>0</v>
      </c>
      <c r="M865" s="3">
        <v>0</v>
      </c>
      <c r="N865" s="3">
        <v>0</v>
      </c>
      <c r="O865" s="3">
        <v>0.74750000000000005</v>
      </c>
      <c r="P865" s="3">
        <v>6.4975000000000005</v>
      </c>
      <c r="Q865">
        <v>3</v>
      </c>
    </row>
    <row r="866" spans="1:17" x14ac:dyDescent="0.25">
      <c r="A866" t="s">
        <v>87</v>
      </c>
      <c r="B866" t="s">
        <v>99</v>
      </c>
      <c r="C866" t="s">
        <v>1</v>
      </c>
      <c r="D866" t="s">
        <v>0</v>
      </c>
      <c r="E866">
        <v>44439</v>
      </c>
      <c r="F866" t="s">
        <v>113</v>
      </c>
      <c r="G866" t="s">
        <v>114</v>
      </c>
      <c r="H866" s="3">
        <v>0</v>
      </c>
      <c r="I866" s="3">
        <v>0</v>
      </c>
      <c r="J866" s="3">
        <v>0</v>
      </c>
      <c r="K866" s="3">
        <v>2.15</v>
      </c>
      <c r="L866" s="3">
        <v>0</v>
      </c>
      <c r="M866" s="3">
        <v>0</v>
      </c>
      <c r="N866" s="3">
        <v>0</v>
      </c>
      <c r="O866" s="3">
        <v>0.27949999999999997</v>
      </c>
      <c r="P866" s="3">
        <v>2.4295</v>
      </c>
      <c r="Q866">
        <v>3</v>
      </c>
    </row>
    <row r="867" spans="1:17" x14ac:dyDescent="0.25">
      <c r="A867" t="s">
        <v>87</v>
      </c>
      <c r="B867" t="s">
        <v>99</v>
      </c>
      <c r="C867" t="s">
        <v>1</v>
      </c>
      <c r="D867" t="s">
        <v>0</v>
      </c>
      <c r="E867">
        <v>160539</v>
      </c>
      <c r="F867" t="s">
        <v>425</v>
      </c>
      <c r="G867" t="s">
        <v>426</v>
      </c>
      <c r="H867" s="3">
        <v>5.21</v>
      </c>
      <c r="I867" s="3">
        <v>0</v>
      </c>
      <c r="J867" s="3">
        <v>0</v>
      </c>
      <c r="K867" s="3">
        <v>44.06</v>
      </c>
      <c r="L867" s="3">
        <v>0</v>
      </c>
      <c r="M867" s="3">
        <v>0</v>
      </c>
      <c r="N867" s="3">
        <v>0</v>
      </c>
      <c r="O867" s="3">
        <v>5.7278000000000002</v>
      </c>
      <c r="P867" s="3">
        <v>54.997800000000005</v>
      </c>
      <c r="Q867">
        <v>3</v>
      </c>
    </row>
    <row r="868" spans="1:17" x14ac:dyDescent="0.25">
      <c r="A868" t="s">
        <v>87</v>
      </c>
      <c r="B868" t="s">
        <v>99</v>
      </c>
      <c r="C868" t="s">
        <v>1</v>
      </c>
      <c r="D868" t="s">
        <v>0</v>
      </c>
      <c r="E868">
        <v>40154</v>
      </c>
      <c r="F868" t="s">
        <v>418</v>
      </c>
      <c r="G868" t="s">
        <v>419</v>
      </c>
      <c r="H868" s="3">
        <v>12.96</v>
      </c>
      <c r="I868" s="3">
        <v>0</v>
      </c>
      <c r="J868" s="3">
        <v>0</v>
      </c>
      <c r="K868" s="3">
        <v>109.77</v>
      </c>
      <c r="L868" s="3">
        <v>0</v>
      </c>
      <c r="M868" s="3">
        <v>0</v>
      </c>
      <c r="N868" s="3">
        <v>0</v>
      </c>
      <c r="O868" s="3">
        <v>14.270099999999999</v>
      </c>
      <c r="P868" s="3">
        <v>137.00009999999997</v>
      </c>
      <c r="Q868">
        <v>3</v>
      </c>
    </row>
    <row r="869" spans="1:17" x14ac:dyDescent="0.25">
      <c r="A869" t="s">
        <v>87</v>
      </c>
      <c r="B869" t="s">
        <v>99</v>
      </c>
      <c r="C869" t="s">
        <v>1</v>
      </c>
      <c r="D869" t="s">
        <v>0</v>
      </c>
      <c r="E869">
        <v>40060</v>
      </c>
      <c r="F869" t="s">
        <v>418</v>
      </c>
      <c r="G869" t="s">
        <v>419</v>
      </c>
      <c r="H869" s="3">
        <v>2.08</v>
      </c>
      <c r="I869" s="3">
        <v>0</v>
      </c>
      <c r="J869" s="3">
        <v>0</v>
      </c>
      <c r="K869" s="3">
        <v>17.63</v>
      </c>
      <c r="L869" s="3">
        <v>0</v>
      </c>
      <c r="M869" s="3">
        <v>0</v>
      </c>
      <c r="N869" s="3">
        <v>0</v>
      </c>
      <c r="O869" s="3">
        <v>2.2919</v>
      </c>
      <c r="P869" s="3">
        <v>22.001899999999999</v>
      </c>
      <c r="Q869">
        <v>3</v>
      </c>
    </row>
    <row r="870" spans="1:17" x14ac:dyDescent="0.25">
      <c r="A870" t="s">
        <v>518</v>
      </c>
      <c r="H870" s="3">
        <f>SUBTOTAL(109,Tabla1[C. EXENTAS])</f>
        <v>2416.599999999999</v>
      </c>
      <c r="K870" s="3">
        <f>SUBTOTAL(109,Tabla1[C. GRAVADA])</f>
        <v>66483.070000000138</v>
      </c>
      <c r="O870" s="3">
        <f>SUBTOTAL(109,Tabla1[IVA])</f>
        <v>8642.7990999999984</v>
      </c>
      <c r="P870" s="3">
        <f>SUBTOTAL(109,Tabla1[TOTAL C.])</f>
        <v>77542.4690999999</v>
      </c>
      <c r="Q870">
        <f>SUBTOTAL(109,Tabla1[ANEXO 3])</f>
        <v>2598</v>
      </c>
    </row>
  </sheetData>
  <dataConsolidate/>
  <conditionalFormatting sqref="E871:E1048576 E1:E869">
    <cfRule type="duplicateValues" dxfId="64" priority="1"/>
    <cfRule type="duplicateValues" dxfId="63" priority="2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extBox1">
          <controlPr defaultSize="0" autoLine="0" r:id="rId4">
            <anchor moveWithCells="1">
              <from>
                <xdr:col>6</xdr:col>
                <xdr:colOff>19050</xdr:colOff>
                <xdr:row>0</xdr:row>
                <xdr:rowOff>19050</xdr:rowOff>
              </from>
              <to>
                <xdr:col>7</xdr:col>
                <xdr:colOff>466725</xdr:colOff>
                <xdr:row>1</xdr:row>
                <xdr:rowOff>57150</xdr:rowOff>
              </to>
            </anchor>
          </controlPr>
        </control>
      </mc:Choice>
      <mc:Fallback>
        <control shapeId="14338" r:id="rId3" name="TextBox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B1:G19"/>
  <sheetViews>
    <sheetView showGridLines="0" zoomScale="85" zoomScaleNormal="85" zoomScaleSheetLayoutView="100" workbookViewId="0">
      <selection activeCell="D3" sqref="D3"/>
    </sheetView>
  </sheetViews>
  <sheetFormatPr baseColWidth="10" defaultRowHeight="15" x14ac:dyDescent="0.25"/>
  <cols>
    <col min="2" max="2" width="15.140625" customWidth="1"/>
    <col min="3" max="3" width="3.85546875" customWidth="1"/>
    <col min="4" max="4" width="25.85546875" style="6" customWidth="1"/>
    <col min="5" max="5" width="7.85546875" customWidth="1"/>
  </cols>
  <sheetData>
    <row r="1" spans="2:7" ht="90" customHeight="1" thickBot="1" x14ac:dyDescent="0.3"/>
    <row r="2" spans="2:7" x14ac:dyDescent="0.25">
      <c r="B2" s="7" t="s">
        <v>17</v>
      </c>
      <c r="D2" s="13" t="s">
        <v>788</v>
      </c>
    </row>
    <row r="3" spans="2:7" x14ac:dyDescent="0.25">
      <c r="B3" s="7" t="s">
        <v>2</v>
      </c>
      <c r="D3" s="14" t="s">
        <v>795</v>
      </c>
      <c r="G3" s="3"/>
    </row>
    <row r="4" spans="2:7" x14ac:dyDescent="0.25">
      <c r="B4" s="7" t="s">
        <v>3</v>
      </c>
      <c r="D4" s="16" t="s">
        <v>1</v>
      </c>
    </row>
    <row r="5" spans="2:7" x14ac:dyDescent="0.25">
      <c r="B5" s="7" t="s">
        <v>4</v>
      </c>
      <c r="D5" s="16" t="s">
        <v>0</v>
      </c>
    </row>
    <row r="6" spans="2:7" x14ac:dyDescent="0.25">
      <c r="B6" s="8" t="s">
        <v>28</v>
      </c>
      <c r="D6" s="17" t="s">
        <v>499</v>
      </c>
    </row>
    <row r="7" spans="2:7" x14ac:dyDescent="0.25">
      <c r="B7" s="7" t="s">
        <v>27</v>
      </c>
      <c r="D7" s="17" t="s">
        <v>500</v>
      </c>
    </row>
    <row r="8" spans="2:7" x14ac:dyDescent="0.25">
      <c r="B8" s="7" t="s">
        <v>26</v>
      </c>
      <c r="D8" s="18"/>
    </row>
    <row r="9" spans="2:7" x14ac:dyDescent="0.25">
      <c r="B9" s="7" t="s">
        <v>25</v>
      </c>
      <c r="D9" s="19">
        <f>+D8</f>
        <v>0</v>
      </c>
    </row>
    <row r="10" spans="2:7" x14ac:dyDescent="0.25">
      <c r="B10" s="7" t="s">
        <v>24</v>
      </c>
      <c r="D10" s="20"/>
    </row>
    <row r="11" spans="2:7" x14ac:dyDescent="0.25">
      <c r="B11" s="8" t="s">
        <v>88</v>
      </c>
      <c r="D11" s="28" t="str">
        <f>IFERROR(VLOOKUP(D10,'base de clientes'!A:B,2,0),"No existe")</f>
        <v>No existe</v>
      </c>
    </row>
    <row r="12" spans="2:7" x14ac:dyDescent="0.25">
      <c r="B12" s="8" t="s">
        <v>90</v>
      </c>
      <c r="D12" s="21">
        <v>0</v>
      </c>
    </row>
    <row r="13" spans="2:7" x14ac:dyDescent="0.25">
      <c r="B13" s="8" t="s">
        <v>89</v>
      </c>
      <c r="D13" s="10">
        <v>0</v>
      </c>
    </row>
    <row r="14" spans="2:7" x14ac:dyDescent="0.25">
      <c r="B14" s="7" t="s">
        <v>23</v>
      </c>
      <c r="D14" s="11">
        <v>0</v>
      </c>
    </row>
    <row r="15" spans="2:7" x14ac:dyDescent="0.25">
      <c r="B15" s="7" t="s">
        <v>22</v>
      </c>
      <c r="D15" s="21">
        <f>+D14*0.13</f>
        <v>0</v>
      </c>
    </row>
    <row r="16" spans="2:7" x14ac:dyDescent="0.25">
      <c r="B16" s="7" t="s">
        <v>21</v>
      </c>
      <c r="D16" s="10">
        <v>0</v>
      </c>
    </row>
    <row r="17" spans="2:4" x14ac:dyDescent="0.25">
      <c r="B17" s="7" t="s">
        <v>20</v>
      </c>
      <c r="D17" s="10">
        <v>0</v>
      </c>
    </row>
    <row r="18" spans="2:4" ht="15" customHeight="1" x14ac:dyDescent="0.25">
      <c r="B18" s="7" t="s">
        <v>91</v>
      </c>
      <c r="D18" s="10">
        <f>+(D12+D13+D14+D15+D16+D17)</f>
        <v>0</v>
      </c>
    </row>
    <row r="19" spans="2:4" ht="15.75" thickBot="1" x14ac:dyDescent="0.3">
      <c r="B19" s="7" t="s">
        <v>18</v>
      </c>
      <c r="D19" s="12" t="s">
        <v>1</v>
      </c>
    </row>
  </sheetData>
  <dataConsolidate/>
  <dataValidations count="1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2]!DatosContri">
                <anchor moveWithCells="1" sizeWithCells="1">
                  <from>
                    <xdr:col>3</xdr:col>
                    <xdr:colOff>438150</xdr:colOff>
                    <xdr:row>20</xdr:row>
                    <xdr:rowOff>76200</xdr:rowOff>
                  </from>
                  <to>
                    <xdr:col>3</xdr:col>
                    <xdr:colOff>1695450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2]!LimpiarDatos">
                <anchor moveWithCells="1" sizeWithCells="1">
                  <from>
                    <xdr:col>1</xdr:col>
                    <xdr:colOff>0</xdr:colOff>
                    <xdr:row>20</xdr:row>
                    <xdr:rowOff>76200</xdr:rowOff>
                  </from>
                  <to>
                    <xdr:col>2</xdr:col>
                    <xdr:colOff>219075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1:W200"/>
  <sheetViews>
    <sheetView tabSelected="1" topLeftCell="E175" workbookViewId="0">
      <selection activeCell="K184" sqref="K184:U184"/>
    </sheetView>
  </sheetViews>
  <sheetFormatPr baseColWidth="10" defaultRowHeight="15" x14ac:dyDescent="0.25"/>
  <cols>
    <col min="1" max="4" width="3.140625" style="67" hidden="1" customWidth="1"/>
    <col min="9" max="9" width="15.42578125" customWidth="1"/>
    <col min="10" max="10" width="14.28515625" customWidth="1"/>
    <col min="11" max="11" width="9.7109375" bestFit="1" customWidth="1"/>
    <col min="13" max="13" width="16.42578125" bestFit="1" customWidth="1"/>
    <col min="14" max="14" width="40.28515625" bestFit="1" customWidth="1"/>
    <col min="15" max="15" width="12.28515625" customWidth="1"/>
    <col min="16" max="16" width="18.7109375" bestFit="1" customWidth="1"/>
    <col min="17" max="17" width="16.42578125" style="3" customWidth="1"/>
    <col min="18" max="18" width="19.28515625" style="3" customWidth="1"/>
    <col min="19" max="19" width="14.42578125" style="3" customWidth="1"/>
    <col min="20" max="20" width="11.42578125" style="3"/>
    <col min="21" max="21" width="12.42578125" style="3" customWidth="1"/>
    <col min="22" max="22" width="6.42578125" style="3" customWidth="1"/>
  </cols>
  <sheetData>
    <row r="1" spans="1:23" x14ac:dyDescent="0.25">
      <c r="O1" s="3"/>
      <c r="P1" s="3"/>
      <c r="V1"/>
    </row>
    <row r="2" spans="1:23" x14ac:dyDescent="0.25">
      <c r="A2" s="67" t="s">
        <v>700</v>
      </c>
      <c r="B2" s="67" t="s">
        <v>698</v>
      </c>
      <c r="C2" s="67" t="s">
        <v>414</v>
      </c>
      <c r="D2" s="67" t="s">
        <v>696</v>
      </c>
      <c r="E2" t="s">
        <v>17</v>
      </c>
      <c r="F2" t="s">
        <v>2</v>
      </c>
      <c r="G2" t="s">
        <v>3</v>
      </c>
      <c r="H2" t="s">
        <v>4</v>
      </c>
      <c r="I2" t="s">
        <v>28</v>
      </c>
      <c r="J2" t="s">
        <v>27</v>
      </c>
      <c r="K2" t="s">
        <v>26</v>
      </c>
      <c r="L2" t="s">
        <v>25</v>
      </c>
      <c r="M2" t="s">
        <v>24</v>
      </c>
      <c r="N2" t="s">
        <v>88</v>
      </c>
      <c r="O2" s="3" t="s">
        <v>90</v>
      </c>
      <c r="P2" s="3" t="s">
        <v>89</v>
      </c>
      <c r="Q2" s="3" t="s">
        <v>23</v>
      </c>
      <c r="R2" s="3" t="s">
        <v>22</v>
      </c>
      <c r="S2" s="3" t="s">
        <v>21</v>
      </c>
      <c r="T2" s="3" t="s">
        <v>20</v>
      </c>
      <c r="U2" s="3" t="s">
        <v>91</v>
      </c>
      <c r="V2" t="s">
        <v>18</v>
      </c>
      <c r="W2" t="s">
        <v>841</v>
      </c>
    </row>
    <row r="3" spans="1:23" x14ac:dyDescent="0.25">
      <c r="A3" s="67" t="str">
        <f>+Tabla2[[#This Row],[NOMBRE DE CLIENTE]]&amp;Tabla2[[#This Row],[ESPACIO]]&amp;Tabla2[[#This Row],[CCF]]&amp;Tabla2[[#This Row],[ESPACIO]]&amp;Tabla2[[#This Row],[N° DOC]]</f>
        <v>OPERADORA DEL SUR, S. A. DE C.V.180</v>
      </c>
      <c r="D3" s="67">
        <f>+VLOOKUP(Tabla2[[#This Row],[NOMBRE DE CLIENTE]],[3]CATALOGO!$A:$B,2,0)</f>
        <v>11030105</v>
      </c>
      <c r="E3" t="s">
        <v>788</v>
      </c>
      <c r="F3" t="s">
        <v>803</v>
      </c>
      <c r="G3" t="s">
        <v>1</v>
      </c>
      <c r="H3" t="s">
        <v>0</v>
      </c>
      <c r="I3" t="s">
        <v>499</v>
      </c>
      <c r="J3" t="s">
        <v>500</v>
      </c>
      <c r="K3">
        <v>180</v>
      </c>
      <c r="L3">
        <v>180</v>
      </c>
      <c r="M3" t="s">
        <v>240</v>
      </c>
      <c r="N3" t="s">
        <v>241</v>
      </c>
      <c r="O3" s="3">
        <v>0</v>
      </c>
      <c r="P3" s="3">
        <v>0</v>
      </c>
      <c r="Q3" s="3">
        <v>6881.61</v>
      </c>
      <c r="R3" s="3">
        <v>894.60929999999996</v>
      </c>
      <c r="S3" s="3">
        <v>0</v>
      </c>
      <c r="T3" s="3">
        <v>0</v>
      </c>
      <c r="U3" s="3">
        <v>7776.22</v>
      </c>
      <c r="V3" t="s">
        <v>1</v>
      </c>
      <c r="W3">
        <v>7707.4</v>
      </c>
    </row>
    <row r="4" spans="1:23" x14ac:dyDescent="0.25">
      <c r="A4" s="67" t="str">
        <f>+Tabla2[[#This Row],[NOMBRE DE CLIENTE]]&amp;Tabla2[[#This Row],[ESPACIO]]&amp;Tabla2[[#This Row],[CCF]]&amp;Tabla2[[#This Row],[ESPACIO]]&amp;Tabla2[[#This Row],[N° DOC]]</f>
        <v>ANULADO179</v>
      </c>
      <c r="D4" s="67" t="e">
        <f>+VLOOKUP(Tabla2[[#This Row],[NOMBRE DE CLIENTE]],[3]CATALOGO!$A:$B,2,0)</f>
        <v>#N/A</v>
      </c>
      <c r="E4" t="s">
        <v>788</v>
      </c>
      <c r="F4" t="s">
        <v>803</v>
      </c>
      <c r="G4" t="s">
        <v>1</v>
      </c>
      <c r="H4" t="s">
        <v>0</v>
      </c>
      <c r="I4" t="s">
        <v>499</v>
      </c>
      <c r="J4" t="s">
        <v>500</v>
      </c>
      <c r="K4">
        <v>179</v>
      </c>
      <c r="L4">
        <v>179</v>
      </c>
      <c r="M4" t="s">
        <v>186</v>
      </c>
      <c r="N4" t="s">
        <v>30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t="s">
        <v>1</v>
      </c>
      <c r="W4">
        <v>0</v>
      </c>
    </row>
    <row r="5" spans="1:23" x14ac:dyDescent="0.25">
      <c r="A5" s="67" t="str">
        <f>+Tabla2[[#This Row],[NOMBRE DE CLIENTE]]&amp;Tabla2[[#This Row],[ESPACIO]]&amp;Tabla2[[#This Row],[CCF]]&amp;Tabla2[[#This Row],[ESPACIO]]&amp;Tabla2[[#This Row],[N° DOC]]</f>
        <v>OPERADORA DEL SUR, S. A. DE C.V.178</v>
      </c>
      <c r="D5" s="67">
        <f>+VLOOKUP(Tabla2[[#This Row],[NOMBRE DE CLIENTE]],[3]CATALOGO!$A:$B,2,0)</f>
        <v>11030105</v>
      </c>
      <c r="E5" t="s">
        <v>788</v>
      </c>
      <c r="F5" t="s">
        <v>826</v>
      </c>
      <c r="G5" t="s">
        <v>1</v>
      </c>
      <c r="H5" t="s">
        <v>0</v>
      </c>
      <c r="I5" t="s">
        <v>499</v>
      </c>
      <c r="J5" t="s">
        <v>500</v>
      </c>
      <c r="K5">
        <v>178</v>
      </c>
      <c r="L5">
        <v>178</v>
      </c>
      <c r="M5" t="s">
        <v>240</v>
      </c>
      <c r="N5" t="s">
        <v>241</v>
      </c>
      <c r="O5" s="3">
        <v>0</v>
      </c>
      <c r="P5" s="3">
        <v>0</v>
      </c>
      <c r="Q5" s="3">
        <v>387.32</v>
      </c>
      <c r="R5" s="3">
        <v>50.351599999999998</v>
      </c>
      <c r="S5" s="3">
        <v>0</v>
      </c>
      <c r="T5" s="3">
        <v>0</v>
      </c>
      <c r="U5" s="3">
        <v>437.67</v>
      </c>
      <c r="V5" t="s">
        <v>1</v>
      </c>
      <c r="W5">
        <v>433.8</v>
      </c>
    </row>
    <row r="6" spans="1:23" x14ac:dyDescent="0.25">
      <c r="A6" s="67" t="str">
        <f>+Tabla2[[#This Row],[NOMBRE DE CLIENTE]]&amp;Tabla2[[#This Row],[ESPACIO]]&amp;Tabla2[[#This Row],[CCF]]&amp;Tabla2[[#This Row],[ESPACIO]]&amp;Tabla2[[#This Row],[N° DOC]]</f>
        <v>ESTABLECIMIENTOS ANCALMO, S.A DE C.V177</v>
      </c>
      <c r="D6" s="67">
        <f>+VLOOKUP(Tabla2[[#This Row],[NOMBRE DE CLIENTE]],[3]CATALOGO!$A:$B,2,0)</f>
        <v>11030110</v>
      </c>
      <c r="E6" t="s">
        <v>788</v>
      </c>
      <c r="F6" t="s">
        <v>826</v>
      </c>
      <c r="G6" t="s">
        <v>1</v>
      </c>
      <c r="H6" t="s">
        <v>0</v>
      </c>
      <c r="I6" t="s">
        <v>499</v>
      </c>
      <c r="J6" t="s">
        <v>500</v>
      </c>
      <c r="K6">
        <v>177</v>
      </c>
      <c r="L6">
        <v>177</v>
      </c>
      <c r="M6" t="s">
        <v>282</v>
      </c>
      <c r="N6" t="s">
        <v>283</v>
      </c>
      <c r="O6" s="3">
        <v>0</v>
      </c>
      <c r="P6" s="3">
        <v>0</v>
      </c>
      <c r="Q6" s="3">
        <v>158</v>
      </c>
      <c r="R6" s="3">
        <v>20.54</v>
      </c>
      <c r="S6" s="3">
        <v>0</v>
      </c>
      <c r="T6" s="3">
        <v>0</v>
      </c>
      <c r="U6" s="3">
        <v>178.54</v>
      </c>
      <c r="V6" t="s">
        <v>1</v>
      </c>
      <c r="W6">
        <v>176.96</v>
      </c>
    </row>
    <row r="7" spans="1:23" x14ac:dyDescent="0.25">
      <c r="A7" s="67" t="str">
        <f>+Tabla2[[#This Row],[NOMBRE DE CLIENTE]]&amp;Tabla2[[#This Row],[ESPACIO]]&amp;Tabla2[[#This Row],[CCF]]&amp;Tabla2[[#This Row],[ESPACIO]]&amp;Tabla2[[#This Row],[N° DOC]]</f>
        <v>INDUSTRIAS MIKE MIKE S.A DE C.V.176</v>
      </c>
      <c r="D7" s="67">
        <f>+VLOOKUP(Tabla2[[#This Row],[NOMBRE DE CLIENTE]],[3]CATALOGO!$A:$B,2,0)</f>
        <v>11030116</v>
      </c>
      <c r="E7" t="s">
        <v>788</v>
      </c>
      <c r="F7" t="s">
        <v>804</v>
      </c>
      <c r="G7" t="s">
        <v>1</v>
      </c>
      <c r="H7" t="s">
        <v>0</v>
      </c>
      <c r="I7" t="s">
        <v>499</v>
      </c>
      <c r="J7" t="s">
        <v>500</v>
      </c>
      <c r="K7">
        <v>176</v>
      </c>
      <c r="L7">
        <v>176</v>
      </c>
      <c r="M7" t="s">
        <v>248</v>
      </c>
      <c r="N7" t="s">
        <v>249</v>
      </c>
      <c r="O7" s="3">
        <v>0</v>
      </c>
      <c r="P7" s="3">
        <v>0</v>
      </c>
      <c r="Q7" s="3">
        <v>165.92</v>
      </c>
      <c r="R7" s="3">
        <v>21.569599999999998</v>
      </c>
      <c r="S7" s="3">
        <v>0</v>
      </c>
      <c r="T7" s="3">
        <v>0</v>
      </c>
      <c r="U7" s="3">
        <v>187.49</v>
      </c>
      <c r="V7" t="s">
        <v>1</v>
      </c>
      <c r="W7">
        <v>185.83</v>
      </c>
    </row>
    <row r="8" spans="1:23" x14ac:dyDescent="0.25">
      <c r="A8" s="67" t="str">
        <f>+Tabla2[[#This Row],[NOMBRE DE CLIENTE]]&amp;Tabla2[[#This Row],[ESPACIO]]&amp;Tabla2[[#This Row],[CCF]]&amp;Tabla2[[#This Row],[ESPACIO]]&amp;Tabla2[[#This Row],[N° DOC]]</f>
        <v>NEMTEX S.A DE C.V.175</v>
      </c>
      <c r="D8" s="67">
        <f>+VLOOKUP(Tabla2[[#This Row],[NOMBRE DE CLIENTE]],[3]CATALOGO!$A:$B,2,0)</f>
        <v>11030118</v>
      </c>
      <c r="E8" t="s">
        <v>788</v>
      </c>
      <c r="F8" t="s">
        <v>804</v>
      </c>
      <c r="G8" t="s">
        <v>1</v>
      </c>
      <c r="H8" t="s">
        <v>0</v>
      </c>
      <c r="I8" t="s">
        <v>499</v>
      </c>
      <c r="J8" t="s">
        <v>500</v>
      </c>
      <c r="K8">
        <v>175</v>
      </c>
      <c r="L8">
        <v>175</v>
      </c>
      <c r="M8" t="s">
        <v>258</v>
      </c>
      <c r="N8" t="s">
        <v>259</v>
      </c>
      <c r="O8" s="3">
        <v>0</v>
      </c>
      <c r="P8" s="3">
        <v>0</v>
      </c>
      <c r="Q8" s="3">
        <v>255.92</v>
      </c>
      <c r="R8" s="3">
        <v>33.269599999999997</v>
      </c>
      <c r="S8" s="3">
        <v>0</v>
      </c>
      <c r="T8" s="3">
        <v>0</v>
      </c>
      <c r="U8" s="3">
        <v>289.19</v>
      </c>
      <c r="V8" t="s">
        <v>1</v>
      </c>
      <c r="W8">
        <v>286.63</v>
      </c>
    </row>
    <row r="9" spans="1:23" x14ac:dyDescent="0.25">
      <c r="A9" s="67" t="str">
        <f>+Tabla2[[#This Row],[NOMBRE DE CLIENTE]]&amp;Tabla2[[#This Row],[ESPACIO]]&amp;Tabla2[[#This Row],[CCF]]&amp;Tabla2[[#This Row],[ESPACIO]]&amp;Tabla2[[#This Row],[N° DOC]]</f>
        <v>INVERSIONES STANLEY PACIFICO S.A DE C.V.174</v>
      </c>
      <c r="D9" s="67">
        <f>+VLOOKUP(Tabla2[[#This Row],[NOMBRE DE CLIENTE]],[3]CATALOGO!$A:$B,2,0)</f>
        <v>11030113</v>
      </c>
      <c r="E9" t="s">
        <v>788</v>
      </c>
      <c r="F9" t="s">
        <v>804</v>
      </c>
      <c r="G9" t="s">
        <v>1</v>
      </c>
      <c r="H9" t="s">
        <v>0</v>
      </c>
      <c r="I9" t="s">
        <v>499</v>
      </c>
      <c r="J9" t="s">
        <v>500</v>
      </c>
      <c r="K9">
        <v>174</v>
      </c>
      <c r="L9">
        <v>174</v>
      </c>
      <c r="M9" t="s">
        <v>252</v>
      </c>
      <c r="N9" t="s">
        <v>253</v>
      </c>
      <c r="O9" s="3">
        <v>0</v>
      </c>
      <c r="P9" s="3">
        <v>0</v>
      </c>
      <c r="Q9" s="3">
        <v>386.64</v>
      </c>
      <c r="R9" s="3">
        <v>50.263199999999998</v>
      </c>
      <c r="S9" s="3">
        <v>0</v>
      </c>
      <c r="T9" s="3">
        <v>0</v>
      </c>
      <c r="U9" s="3">
        <v>436.9</v>
      </c>
      <c r="V9" t="s">
        <v>1</v>
      </c>
      <c r="W9">
        <v>433.04</v>
      </c>
    </row>
    <row r="10" spans="1:23" x14ac:dyDescent="0.25">
      <c r="A10" s="67" t="str">
        <f>+Tabla2[[#This Row],[NOMBRE DE CLIENTE]]&amp;Tabla2[[#This Row],[ESPACIO]]&amp;Tabla2[[#This Row],[CCF]]&amp;Tabla2[[#This Row],[ESPACIO]]&amp;Tabla2[[#This Row],[N° DOC]]</f>
        <v>PRODUCTOS CARNICOS S.A DE C.V.173</v>
      </c>
      <c r="D10" s="67">
        <f>+VLOOKUP(Tabla2[[#This Row],[NOMBRE DE CLIENTE]],[3]CATALOGO!$A:$B,2,0)</f>
        <v>11030103</v>
      </c>
      <c r="E10" t="s">
        <v>788</v>
      </c>
      <c r="F10" t="s">
        <v>804</v>
      </c>
      <c r="G10" t="s">
        <v>1</v>
      </c>
      <c r="H10" t="s">
        <v>0</v>
      </c>
      <c r="I10" t="s">
        <v>499</v>
      </c>
      <c r="J10" t="s">
        <v>500</v>
      </c>
      <c r="K10">
        <v>173</v>
      </c>
      <c r="L10">
        <v>173</v>
      </c>
      <c r="M10" t="s">
        <v>242</v>
      </c>
      <c r="N10" t="s">
        <v>243</v>
      </c>
      <c r="O10" s="3">
        <v>0</v>
      </c>
      <c r="P10" s="3">
        <v>0</v>
      </c>
      <c r="Q10" s="3">
        <v>2593.6</v>
      </c>
      <c r="R10" s="3">
        <v>337.16800000000001</v>
      </c>
      <c r="S10" s="3">
        <v>0</v>
      </c>
      <c r="T10" s="3">
        <v>0</v>
      </c>
      <c r="U10" s="3">
        <v>2930.77</v>
      </c>
      <c r="V10" t="s">
        <v>1</v>
      </c>
      <c r="W10">
        <v>2904.83</v>
      </c>
    </row>
    <row r="11" spans="1:23" x14ac:dyDescent="0.25">
      <c r="A11" s="67" t="str">
        <f>+Tabla2[[#This Row],[NOMBRE DE CLIENTE]]&amp;Tabla2[[#This Row],[ESPACIO]]&amp;Tabla2[[#This Row],[CCF]]&amp;Tabla2[[#This Row],[ESPACIO]]&amp;Tabla2[[#This Row],[N° DOC]]</f>
        <v>LA CONSTANCIA LTDA DE C.V.172</v>
      </c>
      <c r="D11" s="67">
        <f>+VLOOKUP(Tabla2[[#This Row],[NOMBRE DE CLIENTE]],[3]CATALOGO!$A:$B,2,0)</f>
        <v>11030114</v>
      </c>
      <c r="E11" t="s">
        <v>788</v>
      </c>
      <c r="F11" t="s">
        <v>805</v>
      </c>
      <c r="G11" t="s">
        <v>1</v>
      </c>
      <c r="H11" t="s">
        <v>0</v>
      </c>
      <c r="I11" t="s">
        <v>499</v>
      </c>
      <c r="J11" t="s">
        <v>500</v>
      </c>
      <c r="K11">
        <v>172</v>
      </c>
      <c r="L11">
        <v>172</v>
      </c>
      <c r="M11" t="s">
        <v>250</v>
      </c>
      <c r="N11" t="s">
        <v>251</v>
      </c>
      <c r="O11" s="3">
        <v>0</v>
      </c>
      <c r="P11" s="3">
        <v>0</v>
      </c>
      <c r="Q11" s="3">
        <v>693.3</v>
      </c>
      <c r="R11" s="3">
        <v>90.128999999999991</v>
      </c>
      <c r="S11" s="3">
        <v>0</v>
      </c>
      <c r="T11" s="3">
        <v>0</v>
      </c>
      <c r="U11" s="3">
        <v>783.43</v>
      </c>
      <c r="V11" t="s">
        <v>1</v>
      </c>
      <c r="W11">
        <v>776.5</v>
      </c>
    </row>
    <row r="12" spans="1:23" x14ac:dyDescent="0.25">
      <c r="A12" s="67" t="str">
        <f>+Tabla2[[#This Row],[NOMBRE DE CLIENTE]]&amp;Tabla2[[#This Row],[ESPACIO]]&amp;Tabla2[[#This Row],[CCF]]&amp;Tabla2[[#This Row],[ESPACIO]]&amp;Tabla2[[#This Row],[N° DOC]]</f>
        <v>ANULADO171</v>
      </c>
      <c r="D12" s="67" t="e">
        <f>+VLOOKUP(Tabla2[[#This Row],[NOMBRE DE CLIENTE]],[3]CATALOGO!$A:$B,2,0)</f>
        <v>#N/A</v>
      </c>
      <c r="E12" t="s">
        <v>788</v>
      </c>
      <c r="F12" t="s">
        <v>805</v>
      </c>
      <c r="G12" t="s">
        <v>1</v>
      </c>
      <c r="H12" t="s">
        <v>0</v>
      </c>
      <c r="I12" t="s">
        <v>499</v>
      </c>
      <c r="J12" t="s">
        <v>500</v>
      </c>
      <c r="K12">
        <v>171</v>
      </c>
      <c r="L12">
        <v>171</v>
      </c>
      <c r="M12" t="s">
        <v>186</v>
      </c>
      <c r="N12" t="s">
        <v>30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t="s">
        <v>1</v>
      </c>
      <c r="W12">
        <v>0</v>
      </c>
    </row>
    <row r="13" spans="1:23" x14ac:dyDescent="0.25">
      <c r="A13" s="67" t="str">
        <f>+Tabla2[[#This Row],[NOMBRE DE CLIENTE]]&amp;Tabla2[[#This Row],[ESPACIO]]&amp;Tabla2[[#This Row],[CCF]]&amp;Tabla2[[#This Row],[ESPACIO]]&amp;Tabla2[[#This Row],[N° DOC]]</f>
        <v>UNILEVER EL SALVADOR SCC S.A DE C.V.170</v>
      </c>
      <c r="D13" s="67">
        <f>+VLOOKUP(Tabla2[[#This Row],[NOMBRE DE CLIENTE]],[3]CATALOGO!$A:$B,2,0)</f>
        <v>11030108</v>
      </c>
      <c r="E13" t="s">
        <v>788</v>
      </c>
      <c r="F13" t="s">
        <v>807</v>
      </c>
      <c r="G13" t="s">
        <v>1</v>
      </c>
      <c r="H13" t="s">
        <v>0</v>
      </c>
      <c r="I13" t="s">
        <v>499</v>
      </c>
      <c r="J13" t="s">
        <v>500</v>
      </c>
      <c r="K13">
        <v>170</v>
      </c>
      <c r="L13">
        <v>170</v>
      </c>
      <c r="M13" t="s">
        <v>262</v>
      </c>
      <c r="N13" t="s">
        <v>263</v>
      </c>
      <c r="O13" s="3">
        <v>0</v>
      </c>
      <c r="P13" s="3">
        <v>0</v>
      </c>
      <c r="Q13" s="3">
        <v>1235.42</v>
      </c>
      <c r="R13" s="3">
        <v>160.6046</v>
      </c>
      <c r="S13" s="3">
        <v>0</v>
      </c>
      <c r="T13" s="3">
        <v>0</v>
      </c>
      <c r="U13" s="3">
        <v>1396.02</v>
      </c>
      <c r="V13" t="s">
        <v>1</v>
      </c>
      <c r="W13">
        <v>1383.67</v>
      </c>
    </row>
    <row r="14" spans="1:23" x14ac:dyDescent="0.25">
      <c r="A14" s="67" t="str">
        <f>+Tabla2[[#This Row],[NOMBRE DE CLIENTE]]&amp;Tabla2[[#This Row],[ESPACIO]]&amp;Tabla2[[#This Row],[CCF]]&amp;Tabla2[[#This Row],[ESPACIO]]&amp;Tabla2[[#This Row],[N° DOC]]</f>
        <v>OPERADORA DEL SUR, S. A. DE C.V.169</v>
      </c>
      <c r="D14" s="67">
        <f>+VLOOKUP(Tabla2[[#This Row],[NOMBRE DE CLIENTE]],[3]CATALOGO!$A:$B,2,0)</f>
        <v>11030105</v>
      </c>
      <c r="E14" t="s">
        <v>788</v>
      </c>
      <c r="F14" t="s">
        <v>809</v>
      </c>
      <c r="G14" t="s">
        <v>1</v>
      </c>
      <c r="H14" t="s">
        <v>0</v>
      </c>
      <c r="I14" t="s">
        <v>499</v>
      </c>
      <c r="J14" t="s">
        <v>500</v>
      </c>
      <c r="K14">
        <v>169</v>
      </c>
      <c r="L14">
        <v>169</v>
      </c>
      <c r="M14" t="s">
        <v>240</v>
      </c>
      <c r="N14" t="s">
        <v>241</v>
      </c>
      <c r="O14" s="3">
        <v>0</v>
      </c>
      <c r="P14" s="3">
        <v>0</v>
      </c>
      <c r="Q14" s="3">
        <v>624.16999999999996</v>
      </c>
      <c r="R14" s="3">
        <v>81.142099999999999</v>
      </c>
      <c r="S14" s="3">
        <v>0</v>
      </c>
      <c r="T14" s="3">
        <v>0</v>
      </c>
      <c r="U14" s="3">
        <v>705.31</v>
      </c>
      <c r="V14" t="s">
        <v>1</v>
      </c>
      <c r="W14">
        <v>699.07</v>
      </c>
    </row>
    <row r="15" spans="1:23" x14ac:dyDescent="0.25">
      <c r="A15" s="67" t="str">
        <f>+Tabla2[[#This Row],[NOMBRE DE CLIENTE]]&amp;Tabla2[[#This Row],[ESPACIO]]&amp;Tabla2[[#This Row],[CCF]]&amp;Tabla2[[#This Row],[ESPACIO]]&amp;Tabla2[[#This Row],[N° DOC]]</f>
        <v>OPERADORA DEL SUR, S. A. DE C.V.168</v>
      </c>
      <c r="D15" s="67">
        <f>+VLOOKUP(Tabla2[[#This Row],[NOMBRE DE CLIENTE]],[3]CATALOGO!$A:$B,2,0)</f>
        <v>11030105</v>
      </c>
      <c r="E15" t="s">
        <v>788</v>
      </c>
      <c r="F15" t="s">
        <v>809</v>
      </c>
      <c r="G15" t="s">
        <v>1</v>
      </c>
      <c r="H15" t="s">
        <v>0</v>
      </c>
      <c r="I15" t="s">
        <v>499</v>
      </c>
      <c r="J15" t="s">
        <v>500</v>
      </c>
      <c r="K15">
        <v>168</v>
      </c>
      <c r="L15">
        <v>168</v>
      </c>
      <c r="M15" t="s">
        <v>240</v>
      </c>
      <c r="N15" t="s">
        <v>241</v>
      </c>
      <c r="O15" s="3">
        <v>0</v>
      </c>
      <c r="P15" s="3">
        <v>0</v>
      </c>
      <c r="Q15" s="3">
        <v>225.03</v>
      </c>
      <c r="R15" s="3">
        <v>29.253900000000002</v>
      </c>
      <c r="S15" s="3">
        <v>0</v>
      </c>
      <c r="T15" s="3">
        <v>0</v>
      </c>
      <c r="U15" s="3">
        <v>254.28</v>
      </c>
      <c r="V15" t="s">
        <v>1</v>
      </c>
      <c r="W15">
        <v>252.03</v>
      </c>
    </row>
    <row r="16" spans="1:23" x14ac:dyDescent="0.25">
      <c r="A16" s="67" t="str">
        <f>+Tabla2[[#This Row],[NOMBRE DE CLIENTE]]&amp;Tabla2[[#This Row],[ESPACIO]]&amp;Tabla2[[#This Row],[CCF]]&amp;Tabla2[[#This Row],[ESPACIO]]&amp;Tabla2[[#This Row],[N° DOC]]</f>
        <v>OPERADORA DEL SUR, S. A. DE C.V.167</v>
      </c>
      <c r="D16" s="67">
        <f>+VLOOKUP(Tabla2[[#This Row],[NOMBRE DE CLIENTE]],[3]CATALOGO!$A:$B,2,0)</f>
        <v>11030105</v>
      </c>
      <c r="E16" t="s">
        <v>788</v>
      </c>
      <c r="F16" t="s">
        <v>809</v>
      </c>
      <c r="G16" t="s">
        <v>1</v>
      </c>
      <c r="H16" t="s">
        <v>0</v>
      </c>
      <c r="I16" t="s">
        <v>499</v>
      </c>
      <c r="J16" t="s">
        <v>500</v>
      </c>
      <c r="K16">
        <v>167</v>
      </c>
      <c r="L16">
        <v>167</v>
      </c>
      <c r="M16" t="s">
        <v>240</v>
      </c>
      <c r="N16" t="s">
        <v>241</v>
      </c>
      <c r="O16" s="3">
        <v>0</v>
      </c>
      <c r="P16" s="3">
        <v>0</v>
      </c>
      <c r="Q16" s="3">
        <v>500</v>
      </c>
      <c r="R16" s="3">
        <v>65</v>
      </c>
      <c r="S16" s="3">
        <v>0</v>
      </c>
      <c r="T16" s="3">
        <v>0</v>
      </c>
      <c r="U16" s="3">
        <v>565</v>
      </c>
      <c r="V16" t="s">
        <v>1</v>
      </c>
      <c r="W16">
        <v>560</v>
      </c>
    </row>
    <row r="17" spans="1:23" x14ac:dyDescent="0.25">
      <c r="A17" s="67" t="str">
        <f>+Tabla2[[#This Row],[NOMBRE DE CLIENTE]]&amp;Tabla2[[#This Row],[ESPACIO]]&amp;Tabla2[[#This Row],[CCF]]&amp;Tabla2[[#This Row],[ESPACIO]]&amp;Tabla2[[#This Row],[N° DOC]]</f>
        <v>OPERADORA DEL SUR, S. A. DE C.V.166</v>
      </c>
      <c r="D17" s="67">
        <f>+VLOOKUP(Tabla2[[#This Row],[NOMBRE DE CLIENTE]],[3]CATALOGO!$A:$B,2,0)</f>
        <v>11030105</v>
      </c>
      <c r="E17" t="s">
        <v>788</v>
      </c>
      <c r="F17" t="s">
        <v>809</v>
      </c>
      <c r="G17" t="s">
        <v>1</v>
      </c>
      <c r="H17" t="s">
        <v>0</v>
      </c>
      <c r="I17" t="s">
        <v>499</v>
      </c>
      <c r="J17" t="s">
        <v>500</v>
      </c>
      <c r="K17">
        <v>166</v>
      </c>
      <c r="L17">
        <v>166</v>
      </c>
      <c r="M17" t="s">
        <v>240</v>
      </c>
      <c r="N17" t="s">
        <v>241</v>
      </c>
      <c r="O17" s="3">
        <v>0</v>
      </c>
      <c r="P17" s="3">
        <v>0</v>
      </c>
      <c r="Q17" s="3">
        <v>2147.04</v>
      </c>
      <c r="R17" s="3">
        <v>279.11520000000002</v>
      </c>
      <c r="S17" s="3">
        <v>0</v>
      </c>
      <c r="T17" s="3">
        <v>0</v>
      </c>
      <c r="U17" s="3">
        <v>2426.16</v>
      </c>
      <c r="V17" t="s">
        <v>1</v>
      </c>
      <c r="W17">
        <v>2404.6799999999998</v>
      </c>
    </row>
    <row r="18" spans="1:23" x14ac:dyDescent="0.25">
      <c r="A18" s="67" t="str">
        <f>+Tabla2[[#This Row],[NOMBRE DE CLIENTE]]&amp;Tabla2[[#This Row],[ESPACIO]]&amp;Tabla2[[#This Row],[CCF]]&amp;Tabla2[[#This Row],[ESPACIO]]&amp;Tabla2[[#This Row],[N° DOC]]</f>
        <v>OPERADORA DEL SUR, S. A. DE C.V.165</v>
      </c>
      <c r="D18" s="67">
        <f>+VLOOKUP(Tabla2[[#This Row],[NOMBRE DE CLIENTE]],[3]CATALOGO!$A:$B,2,0)</f>
        <v>11030105</v>
      </c>
      <c r="E18" t="s">
        <v>788</v>
      </c>
      <c r="F18" t="s">
        <v>809</v>
      </c>
      <c r="G18" t="s">
        <v>1</v>
      </c>
      <c r="H18" t="s">
        <v>0</v>
      </c>
      <c r="I18" t="s">
        <v>499</v>
      </c>
      <c r="J18" t="s">
        <v>500</v>
      </c>
      <c r="K18">
        <v>165</v>
      </c>
      <c r="L18">
        <v>165</v>
      </c>
      <c r="M18" t="s">
        <v>240</v>
      </c>
      <c r="N18" t="s">
        <v>241</v>
      </c>
      <c r="O18" s="3">
        <v>0</v>
      </c>
      <c r="P18" s="3">
        <v>0</v>
      </c>
      <c r="Q18" s="3">
        <v>550</v>
      </c>
      <c r="R18" s="3">
        <v>71.5</v>
      </c>
      <c r="S18" s="3">
        <v>0</v>
      </c>
      <c r="T18" s="3">
        <v>0</v>
      </c>
      <c r="U18" s="3">
        <v>621.5</v>
      </c>
      <c r="V18" t="s">
        <v>1</v>
      </c>
      <c r="W18">
        <v>616</v>
      </c>
    </row>
    <row r="19" spans="1:23" x14ac:dyDescent="0.25">
      <c r="A19" s="67" t="str">
        <f>+Tabla2[[#This Row],[NOMBRE DE CLIENTE]]&amp;Tabla2[[#This Row],[ESPACIO]]&amp;Tabla2[[#This Row],[CCF]]&amp;Tabla2[[#This Row],[ESPACIO]]&amp;Tabla2[[#This Row],[N° DOC]]</f>
        <v>BANCO AGRICOLA, S.A.164</v>
      </c>
      <c r="D19" s="67">
        <f>+VLOOKUP(Tabla2[[#This Row],[NOMBRE DE CLIENTE]],[3]CATALOGO!$A:$B,2,0)</f>
        <v>11030106</v>
      </c>
      <c r="E19" t="s">
        <v>788</v>
      </c>
      <c r="F19" t="s">
        <v>791</v>
      </c>
      <c r="G19" t="s">
        <v>1</v>
      </c>
      <c r="H19" t="s">
        <v>0</v>
      </c>
      <c r="I19" t="s">
        <v>499</v>
      </c>
      <c r="J19" t="s">
        <v>500</v>
      </c>
      <c r="K19">
        <v>164</v>
      </c>
      <c r="L19">
        <v>164</v>
      </c>
      <c r="M19" t="s">
        <v>244</v>
      </c>
      <c r="N19" t="s">
        <v>245</v>
      </c>
      <c r="O19" s="3">
        <v>0</v>
      </c>
      <c r="P19" s="3">
        <v>0</v>
      </c>
      <c r="Q19" s="3">
        <v>457.36</v>
      </c>
      <c r="R19" s="3">
        <v>59.456800000000001</v>
      </c>
      <c r="S19" s="3">
        <v>0</v>
      </c>
      <c r="T19" s="3">
        <v>0</v>
      </c>
      <c r="U19" s="3">
        <v>516.82000000000005</v>
      </c>
      <c r="V19" t="s">
        <v>1</v>
      </c>
      <c r="W19">
        <v>512.24</v>
      </c>
    </row>
    <row r="20" spans="1:23" x14ac:dyDescent="0.25">
      <c r="A20" s="67" t="str">
        <f>+Tabla2[[#This Row],[NOMBRE DE CLIENTE]]&amp;Tabla2[[#This Row],[ESPACIO]]&amp;Tabla2[[#This Row],[CCF]]&amp;Tabla2[[#This Row],[ESPACIO]]&amp;Tabla2[[#This Row],[N° DOC]]</f>
        <v>BANCO AGRICOLA, S.A.163</v>
      </c>
      <c r="D20" s="67">
        <f>+VLOOKUP(Tabla2[[#This Row],[NOMBRE DE CLIENTE]],[3]CATALOGO!$A:$B,2,0)</f>
        <v>11030106</v>
      </c>
      <c r="E20" t="s">
        <v>788</v>
      </c>
      <c r="F20" t="s">
        <v>791</v>
      </c>
      <c r="G20" t="s">
        <v>1</v>
      </c>
      <c r="H20" t="s">
        <v>0</v>
      </c>
      <c r="I20" t="s">
        <v>499</v>
      </c>
      <c r="J20" t="s">
        <v>500</v>
      </c>
      <c r="K20">
        <v>163</v>
      </c>
      <c r="L20">
        <v>163</v>
      </c>
      <c r="M20" t="s">
        <v>244</v>
      </c>
      <c r="N20" t="s">
        <v>245</v>
      </c>
      <c r="O20" s="3">
        <v>0</v>
      </c>
      <c r="P20" s="3">
        <v>0</v>
      </c>
      <c r="Q20" s="3">
        <v>152.65</v>
      </c>
      <c r="R20" s="3">
        <v>19.8445</v>
      </c>
      <c r="S20" s="3">
        <v>0</v>
      </c>
      <c r="T20" s="3">
        <v>0</v>
      </c>
      <c r="U20" s="3">
        <v>172.49</v>
      </c>
      <c r="V20" t="s">
        <v>1</v>
      </c>
      <c r="W20">
        <v>170.97</v>
      </c>
    </row>
    <row r="21" spans="1:23" x14ac:dyDescent="0.25">
      <c r="A21" s="67" t="str">
        <f>+Tabla2[[#This Row],[NOMBRE DE CLIENTE]]&amp;Tabla2[[#This Row],[ESPACIO]]&amp;Tabla2[[#This Row],[CCF]]&amp;Tabla2[[#This Row],[ESPACIO]]&amp;Tabla2[[#This Row],[N° DOC]]</f>
        <v>BANCO AGRICOLA, S.A.162</v>
      </c>
      <c r="D21" s="67">
        <f>+VLOOKUP(Tabla2[[#This Row],[NOMBRE DE CLIENTE]],[3]CATALOGO!$A:$B,2,0)</f>
        <v>11030106</v>
      </c>
      <c r="E21" t="s">
        <v>788</v>
      </c>
      <c r="F21" t="s">
        <v>791</v>
      </c>
      <c r="G21" t="s">
        <v>1</v>
      </c>
      <c r="H21" t="s">
        <v>0</v>
      </c>
      <c r="I21" t="s">
        <v>499</v>
      </c>
      <c r="J21" t="s">
        <v>500</v>
      </c>
      <c r="K21">
        <v>162</v>
      </c>
      <c r="L21">
        <v>162</v>
      </c>
      <c r="M21" t="s">
        <v>244</v>
      </c>
      <c r="N21" t="s">
        <v>245</v>
      </c>
      <c r="O21" s="3">
        <v>0</v>
      </c>
      <c r="P21" s="3">
        <v>0</v>
      </c>
      <c r="Q21" s="3">
        <v>152.65</v>
      </c>
      <c r="R21" s="3">
        <v>19.8445</v>
      </c>
      <c r="S21" s="3">
        <v>0</v>
      </c>
      <c r="T21" s="3">
        <v>0</v>
      </c>
      <c r="U21" s="3">
        <v>172.49</v>
      </c>
      <c r="V21" t="s">
        <v>1</v>
      </c>
      <c r="W21">
        <v>170.97</v>
      </c>
    </row>
    <row r="22" spans="1:23" x14ac:dyDescent="0.25">
      <c r="A22" s="67" t="str">
        <f>+Tabla2[[#This Row],[NOMBRE DE CLIENTE]]&amp;Tabla2[[#This Row],[ESPACIO]]&amp;Tabla2[[#This Row],[CCF]]&amp;Tabla2[[#This Row],[ESPACIO]]&amp;Tabla2[[#This Row],[N° DOC]]</f>
        <v>GRUPO PAILL S.A DE C.V.161</v>
      </c>
      <c r="D22" s="67">
        <f>+VLOOKUP(Tabla2[[#This Row],[NOMBRE DE CLIENTE]],[3]CATALOGO!$A:$B,2,0)</f>
        <v>11030104</v>
      </c>
      <c r="E22" t="s">
        <v>788</v>
      </c>
      <c r="F22" t="s">
        <v>815</v>
      </c>
      <c r="G22" t="s">
        <v>1</v>
      </c>
      <c r="H22" t="s">
        <v>0</v>
      </c>
      <c r="I22" t="s">
        <v>499</v>
      </c>
      <c r="J22" t="s">
        <v>500</v>
      </c>
      <c r="K22">
        <v>161</v>
      </c>
      <c r="L22">
        <v>161</v>
      </c>
      <c r="M22" t="s">
        <v>276</v>
      </c>
      <c r="N22" t="s">
        <v>277</v>
      </c>
      <c r="O22" s="3">
        <v>0</v>
      </c>
      <c r="P22" s="3">
        <v>0</v>
      </c>
      <c r="Q22" s="3">
        <v>1149.1199999999999</v>
      </c>
      <c r="R22" s="3">
        <v>149.38559999999998</v>
      </c>
      <c r="S22" s="3">
        <v>0</v>
      </c>
      <c r="T22" s="3">
        <v>0</v>
      </c>
      <c r="U22" s="3">
        <v>1298.51</v>
      </c>
      <c r="V22" t="s">
        <v>1</v>
      </c>
      <c r="W22">
        <v>1287.01</v>
      </c>
    </row>
    <row r="23" spans="1:23" x14ac:dyDescent="0.25">
      <c r="A23" s="67" t="str">
        <f>+Tabla2[[#This Row],[NOMBRE DE CLIENTE]]&amp;Tabla2[[#This Row],[ESPACIO]]&amp;Tabla2[[#This Row],[CCF]]&amp;Tabla2[[#This Row],[ESPACIO]]&amp;Tabla2[[#This Row],[N° DOC]]</f>
        <v>GRUPO PAILL S.A DE C.V.160</v>
      </c>
      <c r="D23" s="67">
        <f>+VLOOKUP(Tabla2[[#This Row],[NOMBRE DE CLIENTE]],[3]CATALOGO!$A:$B,2,0)</f>
        <v>11030104</v>
      </c>
      <c r="E23" t="s">
        <v>788</v>
      </c>
      <c r="F23" t="s">
        <v>815</v>
      </c>
      <c r="G23" t="s">
        <v>1</v>
      </c>
      <c r="H23" t="s">
        <v>0</v>
      </c>
      <c r="I23" t="s">
        <v>499</v>
      </c>
      <c r="J23" t="s">
        <v>500</v>
      </c>
      <c r="K23">
        <v>160</v>
      </c>
      <c r="L23">
        <v>160</v>
      </c>
      <c r="M23" t="s">
        <v>276</v>
      </c>
      <c r="N23" t="s">
        <v>277</v>
      </c>
      <c r="O23" s="3">
        <v>0</v>
      </c>
      <c r="P23" s="3">
        <v>0</v>
      </c>
      <c r="Q23" s="3">
        <v>179.2</v>
      </c>
      <c r="R23" s="3">
        <v>23.295999999999999</v>
      </c>
      <c r="S23" s="3">
        <v>0</v>
      </c>
      <c r="T23" s="3">
        <v>0</v>
      </c>
      <c r="U23" s="3">
        <v>202.5</v>
      </c>
      <c r="V23" t="s">
        <v>1</v>
      </c>
      <c r="W23">
        <v>200.7</v>
      </c>
    </row>
    <row r="24" spans="1:23" x14ac:dyDescent="0.25">
      <c r="A24" s="67" t="str">
        <f>+Tabla2[[#This Row],[NOMBRE DE CLIENTE]]&amp;Tabla2[[#This Row],[ESPACIO]]&amp;Tabla2[[#This Row],[CCF]]&amp;Tabla2[[#This Row],[ESPACIO]]&amp;Tabla2[[#This Row],[N° DOC]]</f>
        <v>ANULADO159</v>
      </c>
      <c r="D24" s="67" t="e">
        <f>+VLOOKUP(Tabla2[[#This Row],[NOMBRE DE CLIENTE]],[3]CATALOGO!$A:$B,2,0)</f>
        <v>#N/A</v>
      </c>
      <c r="E24" t="s">
        <v>788</v>
      </c>
      <c r="F24" t="s">
        <v>815</v>
      </c>
      <c r="G24" t="s">
        <v>1</v>
      </c>
      <c r="H24" t="s">
        <v>0</v>
      </c>
      <c r="I24" t="s">
        <v>499</v>
      </c>
      <c r="J24" t="s">
        <v>500</v>
      </c>
      <c r="K24">
        <v>159</v>
      </c>
      <c r="L24">
        <v>159</v>
      </c>
      <c r="M24" t="s">
        <v>186</v>
      </c>
      <c r="N24" t="s">
        <v>30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t="s">
        <v>1</v>
      </c>
      <c r="W24">
        <v>0</v>
      </c>
    </row>
    <row r="25" spans="1:23" x14ac:dyDescent="0.25">
      <c r="A25" s="67" t="str">
        <f>+Tabla2[[#This Row],[NOMBRE DE CLIENTE]]&amp;Tabla2[[#This Row],[ESPACIO]]&amp;Tabla2[[#This Row],[CCF]]&amp;Tabla2[[#This Row],[ESPACIO]]&amp;Tabla2[[#This Row],[N° DOC]]</f>
        <v>PROGURSA S.A DE C.V.158</v>
      </c>
      <c r="D25" s="67">
        <f>+VLOOKUP(Tabla2[[#This Row],[NOMBRE DE CLIENTE]],[3]CATALOGO!$A:$B,2,0)</f>
        <v>11030137</v>
      </c>
      <c r="E25" t="s">
        <v>788</v>
      </c>
      <c r="F25" t="s">
        <v>795</v>
      </c>
      <c r="G25" t="s">
        <v>1</v>
      </c>
      <c r="H25" t="s">
        <v>0</v>
      </c>
      <c r="I25" t="s">
        <v>499</v>
      </c>
      <c r="J25" t="s">
        <v>500</v>
      </c>
      <c r="K25">
        <v>158</v>
      </c>
      <c r="L25">
        <v>158</v>
      </c>
      <c r="M25" t="s">
        <v>266</v>
      </c>
      <c r="N25" t="s">
        <v>267</v>
      </c>
      <c r="O25" s="3">
        <v>0</v>
      </c>
      <c r="P25" s="3">
        <v>0</v>
      </c>
      <c r="Q25" s="3">
        <v>150</v>
      </c>
      <c r="R25" s="3">
        <v>19.5</v>
      </c>
      <c r="S25" s="3">
        <v>0</v>
      </c>
      <c r="T25" s="3">
        <v>0</v>
      </c>
      <c r="U25" s="3">
        <v>169.5</v>
      </c>
      <c r="V25" t="s">
        <v>1</v>
      </c>
      <c r="W25">
        <v>168</v>
      </c>
    </row>
    <row r="26" spans="1:23" x14ac:dyDescent="0.25">
      <c r="A26" s="67" t="str">
        <f>+Tabla2[[#This Row],[NOMBRE DE CLIENTE]]&amp;Tabla2[[#This Row],[ESPACIO]]&amp;Tabla2[[#This Row],[CCF]]&amp;Tabla2[[#This Row],[ESPACIO]]&amp;Tabla2[[#This Row],[N° DOC]]</f>
        <v>ANULADO157</v>
      </c>
      <c r="D26" s="67" t="e">
        <f>+VLOOKUP(Tabla2[[#This Row],[NOMBRE DE CLIENTE]],[3]CATALOGO!$A:$B,2,0)</f>
        <v>#N/A</v>
      </c>
      <c r="E26" t="s">
        <v>788</v>
      </c>
      <c r="F26" t="s">
        <v>795</v>
      </c>
      <c r="G26" t="s">
        <v>1</v>
      </c>
      <c r="H26" t="s">
        <v>0</v>
      </c>
      <c r="I26" t="s">
        <v>499</v>
      </c>
      <c r="J26" t="s">
        <v>500</v>
      </c>
      <c r="K26">
        <v>157</v>
      </c>
      <c r="L26">
        <v>157</v>
      </c>
      <c r="M26" t="s">
        <v>186</v>
      </c>
      <c r="N26" t="s">
        <v>30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t="s">
        <v>1</v>
      </c>
      <c r="W26">
        <v>0</v>
      </c>
    </row>
    <row r="27" spans="1:23" x14ac:dyDescent="0.25">
      <c r="A27" s="67" t="str">
        <f>+Tabla2[[#This Row],[NOMBRE DE CLIENTE]]&amp;Tabla2[[#This Row],[ESPACIO]]&amp;Tabla2[[#This Row],[CCF]]&amp;Tabla2[[#This Row],[ESPACIO]]&amp;Tabla2[[#This Row],[N° DOC]]</f>
        <v>HOTELES S.A DE C.V.156</v>
      </c>
      <c r="D27" s="67">
        <f>+VLOOKUP(Tabla2[[#This Row],[NOMBRE DE CLIENTE]],[3]CATALOGO!$A:$B,2,0)</f>
        <v>11030111</v>
      </c>
      <c r="E27" t="s">
        <v>788</v>
      </c>
      <c r="F27" t="s">
        <v>795</v>
      </c>
      <c r="G27" t="s">
        <v>1</v>
      </c>
      <c r="H27" t="s">
        <v>0</v>
      </c>
      <c r="I27" t="s">
        <v>499</v>
      </c>
      <c r="J27" t="s">
        <v>500</v>
      </c>
      <c r="K27">
        <v>156</v>
      </c>
      <c r="L27">
        <v>156</v>
      </c>
      <c r="M27" t="s">
        <v>268</v>
      </c>
      <c r="N27" t="s">
        <v>269</v>
      </c>
      <c r="O27" s="3">
        <v>0</v>
      </c>
      <c r="P27" s="3">
        <v>0</v>
      </c>
      <c r="Q27" s="3">
        <v>750</v>
      </c>
      <c r="R27" s="3">
        <v>97.5</v>
      </c>
      <c r="S27" s="3">
        <v>0</v>
      </c>
      <c r="T27" s="3">
        <v>0</v>
      </c>
      <c r="U27" s="3">
        <v>847.5</v>
      </c>
      <c r="V27" t="s">
        <v>1</v>
      </c>
      <c r="W27">
        <v>840</v>
      </c>
    </row>
    <row r="28" spans="1:23" x14ac:dyDescent="0.25">
      <c r="A28" s="67" t="str">
        <f>+Tabla2[[#This Row],[NOMBRE DE CLIENTE]]&amp;Tabla2[[#This Row],[ESPACIO]]&amp;Tabla2[[#This Row],[CCF]]&amp;Tabla2[[#This Row],[ESPACIO]]&amp;Tabla2[[#This Row],[N° DOC]]</f>
        <v>NEGOCIOS CAMYRAM S.A DE C.V155</v>
      </c>
      <c r="D28" s="67">
        <f>+VLOOKUP(Tabla2[[#This Row],[NOMBRE DE CLIENTE]],[3]CATALOGO!$A:$B,2,0)</f>
        <v>11030102</v>
      </c>
      <c r="E28" t="s">
        <v>788</v>
      </c>
      <c r="F28" t="s">
        <v>795</v>
      </c>
      <c r="G28" t="s">
        <v>1</v>
      </c>
      <c r="H28" t="s">
        <v>0</v>
      </c>
      <c r="I28" t="s">
        <v>499</v>
      </c>
      <c r="J28" t="s">
        <v>500</v>
      </c>
      <c r="K28">
        <v>155</v>
      </c>
      <c r="L28">
        <v>155</v>
      </c>
      <c r="M28" t="s">
        <v>246</v>
      </c>
      <c r="N28" t="s">
        <v>247</v>
      </c>
      <c r="O28" s="3">
        <v>0</v>
      </c>
      <c r="P28" s="3">
        <v>0</v>
      </c>
      <c r="Q28" s="3">
        <v>360.26</v>
      </c>
      <c r="R28" s="3">
        <v>46.833800000000004</v>
      </c>
      <c r="S28" s="3">
        <v>0</v>
      </c>
      <c r="T28" s="3">
        <v>0</v>
      </c>
      <c r="U28" s="3">
        <v>407.09</v>
      </c>
      <c r="V28" t="s">
        <v>1</v>
      </c>
      <c r="W28">
        <v>403.49</v>
      </c>
    </row>
    <row r="29" spans="1:23" x14ac:dyDescent="0.25">
      <c r="A29" s="67" t="str">
        <f>+Tabla2[[#This Row],[NOMBRE DE CLIENTE]]&amp;Tabla2[[#This Row],[ESPACIO]]&amp;Tabla2[[#This Row],[CCF]]&amp;Tabla2[[#This Row],[ESPACIO]]&amp;Tabla2[[#This Row],[N° DOC]]</f>
        <v>SUPER REPUESTOS EL SALVADOR S.A DE C.V.154</v>
      </c>
      <c r="D29" s="67">
        <f>+VLOOKUP(Tabla2[[#This Row],[NOMBRE DE CLIENTE]],[3]CATALOGO!$A:$B,2,0)</f>
        <v>11030115</v>
      </c>
      <c r="E29" t="s">
        <v>788</v>
      </c>
      <c r="F29" t="s">
        <v>795</v>
      </c>
      <c r="G29" t="s">
        <v>1</v>
      </c>
      <c r="H29" t="s">
        <v>0</v>
      </c>
      <c r="I29" t="s">
        <v>499</v>
      </c>
      <c r="J29" t="s">
        <v>500</v>
      </c>
      <c r="K29">
        <v>154</v>
      </c>
      <c r="L29">
        <v>154</v>
      </c>
      <c r="M29" t="s">
        <v>264</v>
      </c>
      <c r="N29" t="s">
        <v>265</v>
      </c>
      <c r="O29" s="3">
        <v>0</v>
      </c>
      <c r="P29" s="3">
        <v>0</v>
      </c>
      <c r="Q29" s="3">
        <v>150</v>
      </c>
      <c r="R29" s="3">
        <v>19.5</v>
      </c>
      <c r="S29" s="3">
        <v>0</v>
      </c>
      <c r="T29" s="3">
        <v>0</v>
      </c>
      <c r="U29" s="3">
        <v>169.5</v>
      </c>
      <c r="V29" t="s">
        <v>1</v>
      </c>
      <c r="W29">
        <v>168</v>
      </c>
    </row>
    <row r="30" spans="1:23" x14ac:dyDescent="0.25">
      <c r="A30" s="67" t="str">
        <f>+Tabla2[[#This Row],[NOMBRE DE CLIENTE]]&amp;Tabla2[[#This Row],[ESPACIO]]&amp;Tabla2[[#This Row],[CCF]]&amp;Tabla2[[#This Row],[ESPACIO]]&amp;Tabla2[[#This Row],[N° DOC]]</f>
        <v>PRODUCTOS CARNICOS S.A DE C.V.153</v>
      </c>
      <c r="D30" s="67">
        <f>+VLOOKUP(Tabla2[[#This Row],[NOMBRE DE CLIENTE]],[3]CATALOGO!$A:$B,2,0)</f>
        <v>11030103</v>
      </c>
      <c r="E30" t="s">
        <v>744</v>
      </c>
      <c r="F30" t="s">
        <v>771</v>
      </c>
      <c r="G30" t="s">
        <v>1</v>
      </c>
      <c r="H30" t="s">
        <v>0</v>
      </c>
      <c r="I30" t="s">
        <v>499</v>
      </c>
      <c r="J30" t="s">
        <v>500</v>
      </c>
      <c r="K30">
        <v>153</v>
      </c>
      <c r="L30">
        <v>153</v>
      </c>
      <c r="M30" t="s">
        <v>242</v>
      </c>
      <c r="N30" t="s">
        <v>243</v>
      </c>
      <c r="O30" s="3">
        <v>0</v>
      </c>
      <c r="P30" s="3">
        <v>0</v>
      </c>
      <c r="Q30" s="3">
        <v>2967</v>
      </c>
      <c r="R30" s="3">
        <v>385.71000000000004</v>
      </c>
      <c r="S30" s="3">
        <v>0</v>
      </c>
      <c r="T30" s="3">
        <v>0</v>
      </c>
      <c r="U30" s="3">
        <v>3352.71</v>
      </c>
      <c r="V30" t="s">
        <v>1</v>
      </c>
      <c r="W30">
        <v>3323.04</v>
      </c>
    </row>
    <row r="31" spans="1:23" x14ac:dyDescent="0.25">
      <c r="A31" s="67" t="str">
        <f>+Tabla2[[#This Row],[NOMBRE DE CLIENTE]]&amp;Tabla2[[#This Row],[ESPACIO]]&amp;Tabla2[[#This Row],[CCF]]&amp;Tabla2[[#This Row],[ESPACIO]]&amp;Tabla2[[#This Row],[N° DOC]]</f>
        <v>PRODUCTOS CARNICOS S.A DE C.V.152</v>
      </c>
      <c r="D31" s="67">
        <f>+VLOOKUP(Tabla2[[#This Row],[NOMBRE DE CLIENTE]],[3]CATALOGO!$A:$B,2,0)</f>
        <v>11030103</v>
      </c>
      <c r="E31" t="s">
        <v>744</v>
      </c>
      <c r="F31" t="s">
        <v>771</v>
      </c>
      <c r="G31" t="s">
        <v>1</v>
      </c>
      <c r="H31" t="s">
        <v>0</v>
      </c>
      <c r="I31" t="s">
        <v>499</v>
      </c>
      <c r="J31" t="s">
        <v>500</v>
      </c>
      <c r="K31">
        <v>152</v>
      </c>
      <c r="L31">
        <v>152</v>
      </c>
      <c r="M31" t="s">
        <v>242</v>
      </c>
      <c r="N31" t="s">
        <v>243</v>
      </c>
      <c r="O31" s="3">
        <v>0</v>
      </c>
      <c r="P31" s="3">
        <v>0</v>
      </c>
      <c r="Q31" s="3">
        <v>344.6</v>
      </c>
      <c r="R31" s="3">
        <v>44.798000000000002</v>
      </c>
      <c r="S31" s="3">
        <v>0</v>
      </c>
      <c r="T31" s="3">
        <v>0</v>
      </c>
      <c r="U31" s="3">
        <v>389.4</v>
      </c>
      <c r="V31" t="s">
        <v>1</v>
      </c>
      <c r="W31">
        <v>385.95</v>
      </c>
    </row>
    <row r="32" spans="1:23" x14ac:dyDescent="0.25">
      <c r="A32" s="67" t="str">
        <f>+Tabla2[[#This Row],[NOMBRE DE CLIENTE]]&amp;Tabla2[[#This Row],[ESPACIO]]&amp;Tabla2[[#This Row],[CCF]]&amp;Tabla2[[#This Row],[ESPACIO]]&amp;Tabla2[[#This Row],[N° DOC]]</f>
        <v>CAEX LOGISTICS S.A DE C.V.151</v>
      </c>
      <c r="D32" s="67">
        <f>+VLOOKUP(Tabla2[[#This Row],[NOMBRE DE CLIENTE]],[3]CATALOGO!$A:$B,2,0)</f>
        <v>11030145</v>
      </c>
      <c r="E32" t="s">
        <v>744</v>
      </c>
      <c r="F32" t="s">
        <v>773</v>
      </c>
      <c r="G32" t="s">
        <v>1</v>
      </c>
      <c r="H32" t="s">
        <v>0</v>
      </c>
      <c r="I32" t="s">
        <v>499</v>
      </c>
      <c r="J32" t="s">
        <v>500</v>
      </c>
      <c r="K32">
        <v>151</v>
      </c>
      <c r="L32">
        <v>151</v>
      </c>
      <c r="M32" t="s">
        <v>522</v>
      </c>
      <c r="N32" t="s">
        <v>523</v>
      </c>
      <c r="O32" s="3">
        <v>0</v>
      </c>
      <c r="P32" s="3">
        <v>0</v>
      </c>
      <c r="Q32" s="3">
        <v>275</v>
      </c>
      <c r="R32" s="3">
        <v>35.75</v>
      </c>
      <c r="S32" s="3">
        <v>0</v>
      </c>
      <c r="T32" s="3">
        <v>0</v>
      </c>
      <c r="U32" s="3">
        <v>310.75</v>
      </c>
      <c r="V32" t="s">
        <v>1</v>
      </c>
      <c r="W32">
        <v>308</v>
      </c>
    </row>
    <row r="33" spans="1:23" x14ac:dyDescent="0.25">
      <c r="A33" s="67" t="str">
        <f>+Tabla2[[#This Row],[NOMBRE DE CLIENTE]]&amp;Tabla2[[#This Row],[ESPACIO]]&amp;Tabla2[[#This Row],[CCF]]&amp;Tabla2[[#This Row],[ESPACIO]]&amp;Tabla2[[#This Row],[N° DOC]]</f>
        <v>OPERADORA DEL SUR, S. A. DE C.V.150</v>
      </c>
      <c r="D33" s="67">
        <f>+VLOOKUP(Tabla2[[#This Row],[NOMBRE DE CLIENTE]],[3]CATALOGO!$A:$B,2,0)</f>
        <v>11030105</v>
      </c>
      <c r="E33" t="s">
        <v>744</v>
      </c>
      <c r="F33" t="s">
        <v>762</v>
      </c>
      <c r="G33" t="s">
        <v>1</v>
      </c>
      <c r="H33" t="s">
        <v>0</v>
      </c>
      <c r="I33" t="s">
        <v>499</v>
      </c>
      <c r="J33" t="s">
        <v>500</v>
      </c>
      <c r="K33">
        <v>150</v>
      </c>
      <c r="L33">
        <v>150</v>
      </c>
      <c r="M33" t="s">
        <v>240</v>
      </c>
      <c r="N33" t="s">
        <v>241</v>
      </c>
      <c r="O33" s="3">
        <v>0</v>
      </c>
      <c r="P33" s="3">
        <v>0</v>
      </c>
      <c r="Q33" s="3">
        <v>1663.52</v>
      </c>
      <c r="R33" s="3">
        <v>216.2576</v>
      </c>
      <c r="S33" s="3">
        <v>0</v>
      </c>
      <c r="T33" s="3">
        <v>0</v>
      </c>
      <c r="U33" s="3">
        <v>1879.78</v>
      </c>
      <c r="V33" t="s">
        <v>1</v>
      </c>
      <c r="W33">
        <v>1863.14</v>
      </c>
    </row>
    <row r="34" spans="1:23" x14ac:dyDescent="0.25">
      <c r="A34" s="67" t="str">
        <f>+Tabla2[[#This Row],[NOMBRE DE CLIENTE]]&amp;Tabla2[[#This Row],[ESPACIO]]&amp;Tabla2[[#This Row],[CCF]]&amp;Tabla2[[#This Row],[ESPACIO]]&amp;Tabla2[[#This Row],[N° DOC]]</f>
        <v>OPERADORA DEL SUR, S. A. DE C.V.149</v>
      </c>
      <c r="D34" s="67">
        <f>+VLOOKUP(Tabla2[[#This Row],[NOMBRE DE CLIENTE]],[3]CATALOGO!$A:$B,2,0)</f>
        <v>11030105</v>
      </c>
      <c r="E34" t="s">
        <v>744</v>
      </c>
      <c r="F34" t="s">
        <v>762</v>
      </c>
      <c r="G34" t="s">
        <v>1</v>
      </c>
      <c r="H34" t="s">
        <v>0</v>
      </c>
      <c r="I34" t="s">
        <v>499</v>
      </c>
      <c r="J34" t="s">
        <v>500</v>
      </c>
      <c r="K34">
        <v>149</v>
      </c>
      <c r="L34">
        <v>149</v>
      </c>
      <c r="M34" t="s">
        <v>240</v>
      </c>
      <c r="N34" t="s">
        <v>241</v>
      </c>
      <c r="O34" s="3">
        <v>0</v>
      </c>
      <c r="P34" s="3">
        <v>0</v>
      </c>
      <c r="Q34" s="3">
        <v>7277.85</v>
      </c>
      <c r="R34" s="3">
        <v>946.12050000000011</v>
      </c>
      <c r="S34" s="3">
        <v>0</v>
      </c>
      <c r="T34" s="3">
        <v>0</v>
      </c>
      <c r="U34" s="3">
        <v>8223.9699999999993</v>
      </c>
      <c r="V34" t="s">
        <v>1</v>
      </c>
      <c r="W34">
        <v>8151.19</v>
      </c>
    </row>
    <row r="35" spans="1:23" x14ac:dyDescent="0.25">
      <c r="A35" s="67" t="str">
        <f>+Tabla2[[#This Row],[NOMBRE DE CLIENTE]]&amp;Tabla2[[#This Row],[ESPACIO]]&amp;Tabla2[[#This Row],[CCF]]&amp;Tabla2[[#This Row],[ESPACIO]]&amp;Tabla2[[#This Row],[N° DOC]]</f>
        <v>OPERADORA DEL SUR, S. A. DE C.V.148</v>
      </c>
      <c r="D35" s="67">
        <f>+VLOOKUP(Tabla2[[#This Row],[NOMBRE DE CLIENTE]],[3]CATALOGO!$A:$B,2,0)</f>
        <v>11030105</v>
      </c>
      <c r="E35" t="s">
        <v>744</v>
      </c>
      <c r="F35" t="s">
        <v>762</v>
      </c>
      <c r="G35" t="s">
        <v>1</v>
      </c>
      <c r="H35" t="s">
        <v>0</v>
      </c>
      <c r="I35" t="s">
        <v>499</v>
      </c>
      <c r="J35" t="s">
        <v>500</v>
      </c>
      <c r="K35">
        <v>148</v>
      </c>
      <c r="L35">
        <v>148</v>
      </c>
      <c r="M35" t="s">
        <v>240</v>
      </c>
      <c r="N35" t="s">
        <v>241</v>
      </c>
      <c r="O35" s="3">
        <v>0</v>
      </c>
      <c r="P35" s="3">
        <v>0</v>
      </c>
      <c r="Q35" s="3">
        <v>900.35</v>
      </c>
      <c r="R35" s="3">
        <v>117.0455</v>
      </c>
      <c r="S35" s="3">
        <v>0</v>
      </c>
      <c r="T35" s="3">
        <v>0</v>
      </c>
      <c r="U35" s="3">
        <v>1017.4</v>
      </c>
      <c r="V35" t="s">
        <v>1</v>
      </c>
      <c r="W35">
        <v>1008.39</v>
      </c>
    </row>
    <row r="36" spans="1:23" x14ac:dyDescent="0.25">
      <c r="A36" s="67" t="str">
        <f>+Tabla2[[#This Row],[NOMBRE DE CLIENTE]]&amp;Tabla2[[#This Row],[ESPACIO]]&amp;Tabla2[[#This Row],[CCF]]&amp;Tabla2[[#This Row],[ESPACIO]]&amp;Tabla2[[#This Row],[N° DOC]]</f>
        <v>INDUSTRIAS MIKE MIKE S.A DE C.V.147</v>
      </c>
      <c r="D36" s="67">
        <f>+VLOOKUP(Tabla2[[#This Row],[NOMBRE DE CLIENTE]],[3]CATALOGO!$A:$B,2,0)</f>
        <v>11030116</v>
      </c>
      <c r="E36" t="s">
        <v>744</v>
      </c>
      <c r="F36" t="s">
        <v>762</v>
      </c>
      <c r="G36" t="s">
        <v>1</v>
      </c>
      <c r="H36" t="s">
        <v>0</v>
      </c>
      <c r="I36" t="s">
        <v>499</v>
      </c>
      <c r="J36" t="s">
        <v>500</v>
      </c>
      <c r="K36">
        <v>147</v>
      </c>
      <c r="L36">
        <v>147</v>
      </c>
      <c r="M36" t="s">
        <v>248</v>
      </c>
      <c r="N36" t="s">
        <v>249</v>
      </c>
      <c r="O36" s="3">
        <v>0</v>
      </c>
      <c r="P36" s="3">
        <v>0</v>
      </c>
      <c r="Q36" s="3">
        <v>165.92</v>
      </c>
      <c r="R36" s="3">
        <v>21.569599999999998</v>
      </c>
      <c r="S36" s="3">
        <v>0</v>
      </c>
      <c r="T36" s="3">
        <v>0</v>
      </c>
      <c r="U36" s="3">
        <v>187.49</v>
      </c>
      <c r="V36" t="s">
        <v>1</v>
      </c>
      <c r="W36">
        <v>185.83</v>
      </c>
    </row>
    <row r="37" spans="1:23" x14ac:dyDescent="0.25">
      <c r="A37" s="67" t="str">
        <f>+Tabla2[[#This Row],[NOMBRE DE CLIENTE]]&amp;Tabla2[[#This Row],[ESPACIO]]&amp;Tabla2[[#This Row],[CCF]]&amp;Tabla2[[#This Row],[ESPACIO]]&amp;Tabla2[[#This Row],[N° DOC]]</f>
        <v>LA CONSTANCIA LTDA DE C.V.146</v>
      </c>
      <c r="D37" s="67">
        <f>+VLOOKUP(Tabla2[[#This Row],[NOMBRE DE CLIENTE]],[3]CATALOGO!$A:$B,2,0)</f>
        <v>11030114</v>
      </c>
      <c r="E37" t="s">
        <v>744</v>
      </c>
      <c r="F37" t="s">
        <v>761</v>
      </c>
      <c r="G37" t="s">
        <v>1</v>
      </c>
      <c r="H37" t="s">
        <v>0</v>
      </c>
      <c r="I37" t="s">
        <v>499</v>
      </c>
      <c r="J37" t="s">
        <v>500</v>
      </c>
      <c r="K37">
        <v>146</v>
      </c>
      <c r="L37">
        <v>146</v>
      </c>
      <c r="M37" t="s">
        <v>250</v>
      </c>
      <c r="N37" t="s">
        <v>251</v>
      </c>
      <c r="O37" s="3">
        <v>0</v>
      </c>
      <c r="P37" s="3">
        <v>0</v>
      </c>
      <c r="Q37" s="3">
        <v>619.01</v>
      </c>
      <c r="R37" s="3">
        <v>80.471299999999999</v>
      </c>
      <c r="S37" s="3">
        <v>0</v>
      </c>
      <c r="T37" s="3">
        <v>0</v>
      </c>
      <c r="U37" s="3">
        <v>699.48</v>
      </c>
      <c r="V37" t="s">
        <v>1</v>
      </c>
      <c r="W37">
        <v>693.29</v>
      </c>
    </row>
    <row r="38" spans="1:23" x14ac:dyDescent="0.25">
      <c r="A38" s="67" t="str">
        <f>+Tabla2[[#This Row],[NOMBRE DE CLIENTE]]&amp;Tabla2[[#This Row],[ESPACIO]]&amp;Tabla2[[#This Row],[CCF]]&amp;Tabla2[[#This Row],[ESPACIO]]&amp;Tabla2[[#This Row],[N° DOC]]</f>
        <v>ENMANUEL S.A DE C.V.145</v>
      </c>
      <c r="D38" s="67">
        <f>+VLOOKUP(Tabla2[[#This Row],[NOMBRE DE CLIENTE]],[3]CATALOGO!$A:$B,2,0)</f>
        <v>11030127</v>
      </c>
      <c r="E38" t="s">
        <v>744</v>
      </c>
      <c r="F38" t="s">
        <v>758</v>
      </c>
      <c r="G38" t="s">
        <v>1</v>
      </c>
      <c r="H38" t="s">
        <v>0</v>
      </c>
      <c r="I38" t="s">
        <v>499</v>
      </c>
      <c r="J38" t="s">
        <v>500</v>
      </c>
      <c r="K38">
        <v>145</v>
      </c>
      <c r="L38">
        <v>145</v>
      </c>
      <c r="M38" t="s">
        <v>254</v>
      </c>
      <c r="N38" t="s">
        <v>255</v>
      </c>
      <c r="O38" s="3">
        <v>0</v>
      </c>
      <c r="P38" s="3">
        <v>0</v>
      </c>
      <c r="Q38" s="3">
        <v>375</v>
      </c>
      <c r="R38" s="3">
        <v>48.75</v>
      </c>
      <c r="S38" s="3">
        <v>0</v>
      </c>
      <c r="T38" s="3">
        <v>0</v>
      </c>
      <c r="U38" s="3">
        <v>423.75</v>
      </c>
      <c r="V38" t="s">
        <v>1</v>
      </c>
      <c r="W38">
        <v>420</v>
      </c>
    </row>
    <row r="39" spans="1:23" x14ac:dyDescent="0.25">
      <c r="A39" s="67" t="str">
        <f>+Tabla2[[#This Row],[NOMBRE DE CLIENTE]]&amp;Tabla2[[#This Row],[ESPACIO]]&amp;Tabla2[[#This Row],[CCF]]&amp;Tabla2[[#This Row],[ESPACIO]]&amp;Tabla2[[#This Row],[N° DOC]]</f>
        <v>POLYBAG S.A DE C.V.144</v>
      </c>
      <c r="D39" s="67">
        <f>+VLOOKUP(Tabla2[[#This Row],[NOMBRE DE CLIENTE]],[3]CATALOGO!$A:$B,2,0)</f>
        <v>11030124</v>
      </c>
      <c r="E39" t="s">
        <v>744</v>
      </c>
      <c r="F39" t="s">
        <v>758</v>
      </c>
      <c r="G39" t="s">
        <v>1</v>
      </c>
      <c r="H39" t="s">
        <v>0</v>
      </c>
      <c r="I39" t="s">
        <v>499</v>
      </c>
      <c r="J39" t="s">
        <v>500</v>
      </c>
      <c r="K39">
        <v>144</v>
      </c>
      <c r="L39">
        <v>144</v>
      </c>
      <c r="M39" t="s">
        <v>256</v>
      </c>
      <c r="N39" t="s">
        <v>257</v>
      </c>
      <c r="O39" s="3">
        <v>0</v>
      </c>
      <c r="P39" s="3">
        <v>0</v>
      </c>
      <c r="Q39" s="3">
        <v>615</v>
      </c>
      <c r="R39" s="3">
        <v>79.95</v>
      </c>
      <c r="S39" s="3">
        <v>0</v>
      </c>
      <c r="T39" s="3">
        <v>0</v>
      </c>
      <c r="U39" s="3">
        <v>694.95</v>
      </c>
      <c r="V39" t="s">
        <v>1</v>
      </c>
      <c r="W39">
        <v>688.8</v>
      </c>
    </row>
    <row r="40" spans="1:23" x14ac:dyDescent="0.25">
      <c r="A40" s="67" t="str">
        <f>+Tabla2[[#This Row],[NOMBRE DE CLIENTE]]&amp;Tabla2[[#This Row],[ESPACIO]]&amp;Tabla2[[#This Row],[CCF]]&amp;Tabla2[[#This Row],[ESPACIO]]&amp;Tabla2[[#This Row],[N° DOC]]</f>
        <v>INVERSIONES STANLEY PACIFICO S.A DE C.V.143</v>
      </c>
      <c r="D40" s="67">
        <f>+VLOOKUP(Tabla2[[#This Row],[NOMBRE DE CLIENTE]],[3]CATALOGO!$A:$B,2,0)</f>
        <v>11030113</v>
      </c>
      <c r="E40" t="s">
        <v>744</v>
      </c>
      <c r="F40" t="s">
        <v>758</v>
      </c>
      <c r="G40" t="s">
        <v>1</v>
      </c>
      <c r="H40" t="s">
        <v>0</v>
      </c>
      <c r="I40" t="s">
        <v>499</v>
      </c>
      <c r="J40" t="s">
        <v>500</v>
      </c>
      <c r="K40">
        <v>143</v>
      </c>
      <c r="L40">
        <v>143</v>
      </c>
      <c r="M40" t="s">
        <v>252</v>
      </c>
      <c r="N40" t="s">
        <v>253</v>
      </c>
      <c r="O40" s="3">
        <v>0</v>
      </c>
      <c r="P40" s="3">
        <v>0</v>
      </c>
      <c r="Q40" s="3">
        <v>386.64</v>
      </c>
      <c r="R40" s="3">
        <v>50.263199999999998</v>
      </c>
      <c r="S40" s="3">
        <v>0</v>
      </c>
      <c r="T40" s="3">
        <v>0</v>
      </c>
      <c r="U40" s="3">
        <v>436.9</v>
      </c>
      <c r="V40" t="s">
        <v>1</v>
      </c>
      <c r="W40">
        <v>433.04</v>
      </c>
    </row>
    <row r="41" spans="1:23" x14ac:dyDescent="0.25">
      <c r="A41" s="67" t="str">
        <f>+Tabla2[[#This Row],[NOMBRE DE CLIENTE]]&amp;Tabla2[[#This Row],[ESPACIO]]&amp;Tabla2[[#This Row],[CCF]]&amp;Tabla2[[#This Row],[ESPACIO]]&amp;Tabla2[[#This Row],[N° DOC]]</f>
        <v>ANULADO142</v>
      </c>
      <c r="D41" s="67" t="e">
        <f>+VLOOKUP(Tabla2[[#This Row],[NOMBRE DE CLIENTE]],[3]CATALOGO!$A:$B,2,0)</f>
        <v>#N/A</v>
      </c>
      <c r="E41" t="s">
        <v>744</v>
      </c>
      <c r="F41" t="s">
        <v>757</v>
      </c>
      <c r="G41" t="s">
        <v>1</v>
      </c>
      <c r="H41" t="s">
        <v>0</v>
      </c>
      <c r="I41" t="s">
        <v>499</v>
      </c>
      <c r="J41" t="s">
        <v>500</v>
      </c>
      <c r="K41">
        <v>142</v>
      </c>
      <c r="L41">
        <v>142</v>
      </c>
      <c r="M41" t="s">
        <v>186</v>
      </c>
      <c r="N41" t="s">
        <v>30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t="s">
        <v>1</v>
      </c>
      <c r="W41">
        <v>0</v>
      </c>
    </row>
    <row r="42" spans="1:23" x14ac:dyDescent="0.25">
      <c r="A42" s="67" t="str">
        <f>+Tabla2[[#This Row],[NOMBRE DE CLIENTE]]&amp;Tabla2[[#This Row],[ESPACIO]]&amp;Tabla2[[#This Row],[CCF]]&amp;Tabla2[[#This Row],[ESPACIO]]&amp;Tabla2[[#This Row],[N° DOC]]</f>
        <v>OPERADORA DEL SUR, S. A. DE C.V.141</v>
      </c>
      <c r="D42" s="67">
        <f>+VLOOKUP(Tabla2[[#This Row],[NOMBRE DE CLIENTE]],[3]CATALOGO!$A:$B,2,0)</f>
        <v>11030105</v>
      </c>
      <c r="E42" t="s">
        <v>744</v>
      </c>
      <c r="F42" t="s">
        <v>757</v>
      </c>
      <c r="G42" t="s">
        <v>1</v>
      </c>
      <c r="H42" t="s">
        <v>0</v>
      </c>
      <c r="I42" t="s">
        <v>499</v>
      </c>
      <c r="J42" t="s">
        <v>500</v>
      </c>
      <c r="K42">
        <v>141</v>
      </c>
      <c r="L42">
        <v>141</v>
      </c>
      <c r="M42" t="s">
        <v>240</v>
      </c>
      <c r="N42" t="s">
        <v>241</v>
      </c>
      <c r="O42" s="3">
        <v>0</v>
      </c>
      <c r="P42" s="3">
        <v>0</v>
      </c>
      <c r="Q42" s="3">
        <v>281.27999999999997</v>
      </c>
      <c r="R42" s="3">
        <v>36.566399999999994</v>
      </c>
      <c r="S42" s="3">
        <v>0</v>
      </c>
      <c r="T42" s="3">
        <v>0</v>
      </c>
      <c r="U42" s="3">
        <v>317.85000000000002</v>
      </c>
      <c r="V42" t="s">
        <v>1</v>
      </c>
      <c r="W42">
        <v>315.02999999999997</v>
      </c>
    </row>
    <row r="43" spans="1:23" x14ac:dyDescent="0.25">
      <c r="A43" s="67" t="str">
        <f>+Tabla2[[#This Row],[NOMBRE DE CLIENTE]]&amp;Tabla2[[#This Row],[ESPACIO]]&amp;Tabla2[[#This Row],[CCF]]&amp;Tabla2[[#This Row],[ESPACIO]]&amp;Tabla2[[#This Row],[N° DOC]]</f>
        <v>ANULADO140</v>
      </c>
      <c r="D43" s="67" t="e">
        <f>+VLOOKUP(Tabla2[[#This Row],[NOMBRE DE CLIENTE]],[3]CATALOGO!$A:$B,2,0)</f>
        <v>#N/A</v>
      </c>
      <c r="E43" t="s">
        <v>744</v>
      </c>
      <c r="F43" t="s">
        <v>757</v>
      </c>
      <c r="G43" t="s">
        <v>1</v>
      </c>
      <c r="H43" t="s">
        <v>0</v>
      </c>
      <c r="I43" t="s">
        <v>499</v>
      </c>
      <c r="J43" t="s">
        <v>500</v>
      </c>
      <c r="K43">
        <v>140</v>
      </c>
      <c r="L43">
        <v>140</v>
      </c>
      <c r="M43" t="s">
        <v>186</v>
      </c>
      <c r="N43" t="s">
        <v>30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t="s">
        <v>1</v>
      </c>
      <c r="W43">
        <v>0</v>
      </c>
    </row>
    <row r="44" spans="1:23" x14ac:dyDescent="0.25">
      <c r="A44" s="67" t="str">
        <f>+Tabla2[[#This Row],[NOMBRE DE CLIENTE]]&amp;Tabla2[[#This Row],[ESPACIO]]&amp;Tabla2[[#This Row],[CCF]]&amp;Tabla2[[#This Row],[ESPACIO]]&amp;Tabla2[[#This Row],[N° DOC]]</f>
        <v>OPERADORA DEL SUR, S. A. DE C.V.139</v>
      </c>
      <c r="D44" s="67">
        <f>+VLOOKUP(Tabla2[[#This Row],[NOMBRE DE CLIENTE]],[3]CATALOGO!$A:$B,2,0)</f>
        <v>11030105</v>
      </c>
      <c r="E44" t="s">
        <v>744</v>
      </c>
      <c r="F44" t="s">
        <v>757</v>
      </c>
      <c r="G44" t="s">
        <v>1</v>
      </c>
      <c r="H44" t="s">
        <v>0</v>
      </c>
      <c r="I44" t="s">
        <v>499</v>
      </c>
      <c r="J44" t="s">
        <v>500</v>
      </c>
      <c r="K44">
        <v>139</v>
      </c>
      <c r="L44">
        <v>139</v>
      </c>
      <c r="M44" t="s">
        <v>240</v>
      </c>
      <c r="N44" t="s">
        <v>241</v>
      </c>
      <c r="O44" s="3">
        <v>0</v>
      </c>
      <c r="P44" s="3">
        <v>0</v>
      </c>
      <c r="Q44" s="3">
        <v>2147.04</v>
      </c>
      <c r="R44" s="3">
        <v>279.11520000000002</v>
      </c>
      <c r="S44" s="3">
        <v>0</v>
      </c>
      <c r="T44" s="3">
        <v>0</v>
      </c>
      <c r="U44" s="3">
        <v>2426.16</v>
      </c>
      <c r="V44" t="s">
        <v>1</v>
      </c>
      <c r="W44">
        <v>2404.6799999999998</v>
      </c>
    </row>
    <row r="45" spans="1:23" x14ac:dyDescent="0.25">
      <c r="A45" s="67" t="str">
        <f>+Tabla2[[#This Row],[NOMBRE DE CLIENTE]]&amp;Tabla2[[#This Row],[ESPACIO]]&amp;Tabla2[[#This Row],[CCF]]&amp;Tabla2[[#This Row],[ESPACIO]]&amp;Tabla2[[#This Row],[N° DOC]]</f>
        <v>OPERADORA DEL SUR, S. A. DE C.V.138</v>
      </c>
      <c r="D45" s="67">
        <f>+VLOOKUP(Tabla2[[#This Row],[NOMBRE DE CLIENTE]],[3]CATALOGO!$A:$B,2,0)</f>
        <v>11030105</v>
      </c>
      <c r="E45" t="s">
        <v>744</v>
      </c>
      <c r="F45" t="s">
        <v>757</v>
      </c>
      <c r="G45" t="s">
        <v>1</v>
      </c>
      <c r="H45" t="s">
        <v>0</v>
      </c>
      <c r="I45" t="s">
        <v>499</v>
      </c>
      <c r="J45" t="s">
        <v>500</v>
      </c>
      <c r="K45">
        <v>138</v>
      </c>
      <c r="L45">
        <v>138</v>
      </c>
      <c r="M45" t="s">
        <v>240</v>
      </c>
      <c r="N45" t="s">
        <v>241</v>
      </c>
      <c r="O45" s="3">
        <v>0</v>
      </c>
      <c r="P45" s="3">
        <v>0</v>
      </c>
      <c r="Q45" s="3">
        <v>500</v>
      </c>
      <c r="R45" s="3">
        <v>65</v>
      </c>
      <c r="S45" s="3">
        <v>0</v>
      </c>
      <c r="T45" s="3">
        <v>0</v>
      </c>
      <c r="U45" s="3">
        <v>565</v>
      </c>
      <c r="V45" t="s">
        <v>1</v>
      </c>
      <c r="W45">
        <v>560</v>
      </c>
    </row>
    <row r="46" spans="1:23" x14ac:dyDescent="0.25">
      <c r="A46" s="67" t="str">
        <f>+Tabla2[[#This Row],[NOMBRE DE CLIENTE]]&amp;Tabla2[[#This Row],[ESPACIO]]&amp;Tabla2[[#This Row],[CCF]]&amp;Tabla2[[#This Row],[ESPACIO]]&amp;Tabla2[[#This Row],[N° DOC]]</f>
        <v>OPERADORA DEL SUR, S. A. DE C.V.137</v>
      </c>
      <c r="D46" s="67">
        <f>+VLOOKUP(Tabla2[[#This Row],[NOMBRE DE CLIENTE]],[3]CATALOGO!$A:$B,2,0)</f>
        <v>11030105</v>
      </c>
      <c r="E46" t="s">
        <v>744</v>
      </c>
      <c r="F46" t="s">
        <v>757</v>
      </c>
      <c r="G46" t="s">
        <v>1</v>
      </c>
      <c r="H46" t="s">
        <v>0</v>
      </c>
      <c r="I46" t="s">
        <v>499</v>
      </c>
      <c r="J46" t="s">
        <v>500</v>
      </c>
      <c r="K46">
        <v>137</v>
      </c>
      <c r="L46">
        <v>137</v>
      </c>
      <c r="M46" t="s">
        <v>240</v>
      </c>
      <c r="N46" t="s">
        <v>241</v>
      </c>
      <c r="O46" s="3">
        <v>0</v>
      </c>
      <c r="P46" s="3">
        <v>0</v>
      </c>
      <c r="Q46" s="3">
        <v>550</v>
      </c>
      <c r="R46" s="3">
        <v>71.5</v>
      </c>
      <c r="S46" s="3">
        <v>0</v>
      </c>
      <c r="T46" s="3">
        <v>0</v>
      </c>
      <c r="U46" s="3">
        <v>621.5</v>
      </c>
      <c r="V46" t="s">
        <v>1</v>
      </c>
      <c r="W46">
        <v>616</v>
      </c>
    </row>
    <row r="47" spans="1:23" x14ac:dyDescent="0.25">
      <c r="A47" s="67" t="str">
        <f>+Tabla2[[#This Row],[NOMBRE DE CLIENTE]]&amp;Tabla2[[#This Row],[ESPACIO]]&amp;Tabla2[[#This Row],[CCF]]&amp;Tabla2[[#This Row],[ESPACIO]]&amp;Tabla2[[#This Row],[N° DOC]]</f>
        <v>ESTABLECIMIENTOS ANCALMO, S.A DE C.V136</v>
      </c>
      <c r="D47" s="67">
        <f>+VLOOKUP(Tabla2[[#This Row],[NOMBRE DE CLIENTE]],[3]CATALOGO!$A:$B,2,0)</f>
        <v>11030110</v>
      </c>
      <c r="E47" t="s">
        <v>744</v>
      </c>
      <c r="F47" t="s">
        <v>757</v>
      </c>
      <c r="G47" t="s">
        <v>1</v>
      </c>
      <c r="H47" t="s">
        <v>0</v>
      </c>
      <c r="I47" t="s">
        <v>499</v>
      </c>
      <c r="J47" t="s">
        <v>500</v>
      </c>
      <c r="K47">
        <v>136</v>
      </c>
      <c r="L47">
        <v>136</v>
      </c>
      <c r="M47" t="s">
        <v>282</v>
      </c>
      <c r="N47" t="s">
        <v>283</v>
      </c>
      <c r="O47" s="3">
        <v>0</v>
      </c>
      <c r="P47" s="3">
        <v>0</v>
      </c>
      <c r="Q47" s="3">
        <v>143.63999999999999</v>
      </c>
      <c r="R47" s="3">
        <v>18.673199999999998</v>
      </c>
      <c r="S47" s="3">
        <v>0</v>
      </c>
      <c r="T47" s="3">
        <v>0</v>
      </c>
      <c r="U47" s="3">
        <v>162.31</v>
      </c>
      <c r="V47" t="s">
        <v>1</v>
      </c>
      <c r="W47">
        <v>160.88</v>
      </c>
    </row>
    <row r="48" spans="1:23" x14ac:dyDescent="0.25">
      <c r="A48" s="67" t="str">
        <f>+Tabla2[[#This Row],[NOMBRE DE CLIENTE]]&amp;Tabla2[[#This Row],[ESPACIO]]&amp;Tabla2[[#This Row],[CCF]]&amp;Tabla2[[#This Row],[ESPACIO]]&amp;Tabla2[[#This Row],[N° DOC]]</f>
        <v>CAEX LOGISTICS S.A DE C.V.135</v>
      </c>
      <c r="D48" s="67">
        <f>+VLOOKUP(Tabla2[[#This Row],[NOMBRE DE CLIENTE]],[3]CATALOGO!$A:$B,2,0)</f>
        <v>11030145</v>
      </c>
      <c r="E48" t="s">
        <v>744</v>
      </c>
      <c r="F48" t="s">
        <v>752</v>
      </c>
      <c r="G48" t="s">
        <v>1</v>
      </c>
      <c r="H48" t="s">
        <v>0</v>
      </c>
      <c r="I48" t="s">
        <v>499</v>
      </c>
      <c r="J48" t="s">
        <v>500</v>
      </c>
      <c r="K48">
        <v>135</v>
      </c>
      <c r="L48">
        <v>135</v>
      </c>
      <c r="M48" t="s">
        <v>522</v>
      </c>
      <c r="N48" t="s">
        <v>523</v>
      </c>
      <c r="O48" s="3">
        <v>0</v>
      </c>
      <c r="P48" s="3">
        <v>0</v>
      </c>
      <c r="Q48" s="3">
        <v>275</v>
      </c>
      <c r="R48" s="3">
        <v>35.75</v>
      </c>
      <c r="S48" s="3">
        <v>0</v>
      </c>
      <c r="T48" s="3">
        <v>0</v>
      </c>
      <c r="U48" s="3">
        <v>310.75</v>
      </c>
      <c r="V48" t="s">
        <v>1</v>
      </c>
      <c r="W48">
        <v>308</v>
      </c>
    </row>
    <row r="49" spans="1:23" x14ac:dyDescent="0.25">
      <c r="A49" s="67" t="str">
        <f>+Tabla2[[#This Row],[NOMBRE DE CLIENTE]]&amp;Tabla2[[#This Row],[ESPACIO]]&amp;Tabla2[[#This Row],[CCF]]&amp;Tabla2[[#This Row],[ESPACIO]]&amp;Tabla2[[#This Row],[N° DOC]]</f>
        <v>NEGOCIOS CAMYRAM S.A DE C.V134</v>
      </c>
      <c r="D49" s="67">
        <f>+VLOOKUP(Tabla2[[#This Row],[NOMBRE DE CLIENTE]],[3]CATALOGO!$A:$B,2,0)</f>
        <v>11030102</v>
      </c>
      <c r="E49" t="s">
        <v>744</v>
      </c>
      <c r="F49" t="s">
        <v>751</v>
      </c>
      <c r="G49" t="s">
        <v>1</v>
      </c>
      <c r="H49" t="s">
        <v>0</v>
      </c>
      <c r="I49" t="s">
        <v>499</v>
      </c>
      <c r="J49" t="s">
        <v>500</v>
      </c>
      <c r="K49">
        <v>134</v>
      </c>
      <c r="L49">
        <v>134</v>
      </c>
      <c r="M49" t="s">
        <v>246</v>
      </c>
      <c r="N49" t="s">
        <v>247</v>
      </c>
      <c r="O49" s="3">
        <v>0</v>
      </c>
      <c r="P49" s="3">
        <v>0</v>
      </c>
      <c r="Q49" s="3">
        <v>360.26</v>
      </c>
      <c r="R49" s="3">
        <v>46.833800000000004</v>
      </c>
      <c r="S49" s="3">
        <v>0</v>
      </c>
      <c r="T49" s="3">
        <v>0</v>
      </c>
      <c r="U49" s="3">
        <v>407.09</v>
      </c>
      <c r="V49" t="s">
        <v>1</v>
      </c>
      <c r="W49">
        <v>403.49</v>
      </c>
    </row>
    <row r="50" spans="1:23" x14ac:dyDescent="0.25">
      <c r="A50" s="67" t="str">
        <f>+Tabla2[[#This Row],[NOMBRE DE CLIENTE]]&amp;Tabla2[[#This Row],[ESPACIO]]&amp;Tabla2[[#This Row],[CCF]]&amp;Tabla2[[#This Row],[ESPACIO]]&amp;Tabla2[[#This Row],[N° DOC]]</f>
        <v>GRUPO PAILL S.A DE C.V.133</v>
      </c>
      <c r="D50" s="67">
        <f>+VLOOKUP(Tabla2[[#This Row],[NOMBRE DE CLIENTE]],[3]CATALOGO!$A:$B,2,0)</f>
        <v>11030104</v>
      </c>
      <c r="E50" t="s">
        <v>744</v>
      </c>
      <c r="F50" t="s">
        <v>751</v>
      </c>
      <c r="G50" t="s">
        <v>1</v>
      </c>
      <c r="H50" t="s">
        <v>0</v>
      </c>
      <c r="I50" t="s">
        <v>499</v>
      </c>
      <c r="J50" t="s">
        <v>500</v>
      </c>
      <c r="K50">
        <v>133</v>
      </c>
      <c r="L50">
        <v>133</v>
      </c>
      <c r="M50" t="s">
        <v>276</v>
      </c>
      <c r="N50" t="s">
        <v>277</v>
      </c>
      <c r="O50" s="3">
        <v>0</v>
      </c>
      <c r="P50" s="3">
        <v>0</v>
      </c>
      <c r="Q50" s="3">
        <v>1149.1199999999999</v>
      </c>
      <c r="R50" s="3">
        <v>149.38559999999998</v>
      </c>
      <c r="S50" s="3">
        <v>0</v>
      </c>
      <c r="T50" s="3">
        <v>0</v>
      </c>
      <c r="U50" s="3">
        <v>1298.51</v>
      </c>
      <c r="V50" t="s">
        <v>1</v>
      </c>
      <c r="W50">
        <v>1287.01</v>
      </c>
    </row>
    <row r="51" spans="1:23" x14ac:dyDescent="0.25">
      <c r="A51" s="67" t="str">
        <f>+Tabla2[[#This Row],[NOMBRE DE CLIENTE]]&amp;Tabla2[[#This Row],[ESPACIO]]&amp;Tabla2[[#This Row],[CCF]]&amp;Tabla2[[#This Row],[ESPACIO]]&amp;Tabla2[[#This Row],[N° DOC]]</f>
        <v>TALLER DIDEA, S.A. DE C.V.132</v>
      </c>
      <c r="D51" s="67">
        <f>+VLOOKUP(Tabla2[[#This Row],[NOMBRE DE CLIENTE]],[3]CATALOGO!$A:$B,2,0)</f>
        <v>11030109</v>
      </c>
      <c r="E51" t="s">
        <v>744</v>
      </c>
      <c r="F51" t="s">
        <v>751</v>
      </c>
      <c r="G51" t="s">
        <v>1</v>
      </c>
      <c r="H51" t="s">
        <v>0</v>
      </c>
      <c r="I51" t="s">
        <v>499</v>
      </c>
      <c r="J51" t="s">
        <v>500</v>
      </c>
      <c r="K51">
        <v>132</v>
      </c>
      <c r="L51">
        <v>132</v>
      </c>
      <c r="M51" t="s">
        <v>272</v>
      </c>
      <c r="N51" t="s">
        <v>273</v>
      </c>
      <c r="O51" s="3">
        <v>0</v>
      </c>
      <c r="P51" s="3">
        <v>0</v>
      </c>
      <c r="Q51" s="3">
        <v>377.6</v>
      </c>
      <c r="R51" s="3">
        <v>49.088000000000008</v>
      </c>
      <c r="S51" s="3">
        <v>0</v>
      </c>
      <c r="T51" s="3">
        <v>0</v>
      </c>
      <c r="U51" s="3">
        <v>426.69</v>
      </c>
      <c r="V51" t="s">
        <v>1</v>
      </c>
      <c r="W51">
        <v>422.91</v>
      </c>
    </row>
    <row r="52" spans="1:23" x14ac:dyDescent="0.25">
      <c r="A52" s="67" t="str">
        <f>+Tabla2[[#This Row],[NOMBRE DE CLIENTE]]&amp;Tabla2[[#This Row],[ESPACIO]]&amp;Tabla2[[#This Row],[CCF]]&amp;Tabla2[[#This Row],[ESPACIO]]&amp;Tabla2[[#This Row],[N° DOC]]</f>
        <v>PINTURA Y ENDEREZADO S.A DE C.V.131</v>
      </c>
      <c r="D52" s="67">
        <f>+VLOOKUP(Tabla2[[#This Row],[NOMBRE DE CLIENTE]],[3]CATALOGO!$A:$B,2,0)</f>
        <v>11030112</v>
      </c>
      <c r="E52" t="s">
        <v>744</v>
      </c>
      <c r="F52" t="s">
        <v>751</v>
      </c>
      <c r="G52" t="s">
        <v>1</v>
      </c>
      <c r="H52" t="s">
        <v>0</v>
      </c>
      <c r="I52" t="s">
        <v>499</v>
      </c>
      <c r="J52" t="s">
        <v>500</v>
      </c>
      <c r="K52">
        <v>131</v>
      </c>
      <c r="L52">
        <v>131</v>
      </c>
      <c r="M52" t="s">
        <v>270</v>
      </c>
      <c r="N52" t="s">
        <v>271</v>
      </c>
      <c r="O52" s="3">
        <v>0</v>
      </c>
      <c r="P52" s="3">
        <v>0</v>
      </c>
      <c r="Q52" s="3">
        <v>148.04</v>
      </c>
      <c r="R52" s="3">
        <v>19.245200000000001</v>
      </c>
      <c r="S52" s="3">
        <v>0</v>
      </c>
      <c r="T52" s="3">
        <v>0</v>
      </c>
      <c r="U52" s="3">
        <v>167.29</v>
      </c>
      <c r="V52" t="s">
        <v>1</v>
      </c>
      <c r="W52">
        <v>165.8</v>
      </c>
    </row>
    <row r="53" spans="1:23" x14ac:dyDescent="0.25">
      <c r="A53" s="67" t="str">
        <f>+Tabla2[[#This Row],[NOMBRE DE CLIENTE]]&amp;Tabla2[[#This Row],[ESPACIO]]&amp;Tabla2[[#This Row],[CCF]]&amp;Tabla2[[#This Row],[ESPACIO]]&amp;Tabla2[[#This Row],[N° DOC]]</f>
        <v>DIDEA S.A DE C.V.130</v>
      </c>
      <c r="D53" s="67">
        <f>+VLOOKUP(Tabla2[[#This Row],[NOMBRE DE CLIENTE]],[3]CATALOGO!$A:$B,2,0)</f>
        <v>11030117</v>
      </c>
      <c r="E53" t="s">
        <v>744</v>
      </c>
      <c r="F53" t="s">
        <v>751</v>
      </c>
      <c r="G53" t="s">
        <v>1</v>
      </c>
      <c r="H53" t="s">
        <v>0</v>
      </c>
      <c r="I53" t="s">
        <v>499</v>
      </c>
      <c r="J53" t="s">
        <v>500</v>
      </c>
      <c r="K53">
        <v>130</v>
      </c>
      <c r="L53">
        <v>130</v>
      </c>
      <c r="M53" t="s">
        <v>274</v>
      </c>
      <c r="N53" t="s">
        <v>275</v>
      </c>
      <c r="O53" s="3">
        <v>0</v>
      </c>
      <c r="P53" s="3">
        <v>0</v>
      </c>
      <c r="Q53" s="3">
        <v>141.1</v>
      </c>
      <c r="R53" s="3">
        <v>18.343</v>
      </c>
      <c r="S53" s="3">
        <v>0</v>
      </c>
      <c r="T53" s="3">
        <v>0</v>
      </c>
      <c r="U53" s="3">
        <v>159.44</v>
      </c>
      <c r="V53" t="s">
        <v>1</v>
      </c>
      <c r="W53">
        <v>158.03</v>
      </c>
    </row>
    <row r="54" spans="1:23" x14ac:dyDescent="0.25">
      <c r="A54" s="67" t="str">
        <f>+Tabla2[[#This Row],[NOMBRE DE CLIENTE]]&amp;Tabla2[[#This Row],[ESPACIO]]&amp;Tabla2[[#This Row],[CCF]]&amp;Tabla2[[#This Row],[ESPACIO]]&amp;Tabla2[[#This Row],[N° DOC]]</f>
        <v>UNILEVER EL SALVADOR SCC S.A DE C.V.129</v>
      </c>
      <c r="D54" s="67">
        <f>+VLOOKUP(Tabla2[[#This Row],[NOMBRE DE CLIENTE]],[3]CATALOGO!$A:$B,2,0)</f>
        <v>11030108</v>
      </c>
      <c r="E54" t="s">
        <v>744</v>
      </c>
      <c r="F54" t="s">
        <v>747</v>
      </c>
      <c r="G54" t="s">
        <v>1</v>
      </c>
      <c r="H54" t="s">
        <v>0</v>
      </c>
      <c r="I54" t="s">
        <v>499</v>
      </c>
      <c r="J54" t="s">
        <v>500</v>
      </c>
      <c r="K54">
        <v>129</v>
      </c>
      <c r="L54">
        <v>129</v>
      </c>
      <c r="M54" t="s">
        <v>262</v>
      </c>
      <c r="N54" t="s">
        <v>263</v>
      </c>
      <c r="O54" s="3">
        <v>0</v>
      </c>
      <c r="P54" s="3">
        <v>0</v>
      </c>
      <c r="Q54" s="3">
        <v>1175.42</v>
      </c>
      <c r="R54" s="3">
        <v>152.80460000000002</v>
      </c>
      <c r="S54" s="3">
        <v>0</v>
      </c>
      <c r="T54" s="3">
        <v>0</v>
      </c>
      <c r="U54" s="3">
        <v>1328.22</v>
      </c>
      <c r="V54" t="s">
        <v>1</v>
      </c>
      <c r="W54">
        <v>1316.47</v>
      </c>
    </row>
    <row r="55" spans="1:23" x14ac:dyDescent="0.25">
      <c r="A55" s="67" t="str">
        <f>+Tabla2[[#This Row],[NOMBRE DE CLIENTE]]&amp;Tabla2[[#This Row],[ESPACIO]]&amp;Tabla2[[#This Row],[CCF]]&amp;Tabla2[[#This Row],[ESPACIO]]&amp;Tabla2[[#This Row],[N° DOC]]</f>
        <v>ANULADO128</v>
      </c>
      <c r="D55" s="67" t="e">
        <f>+VLOOKUP(Tabla2[[#This Row],[NOMBRE DE CLIENTE]],[3]CATALOGO!$A:$B,2,0)</f>
        <v>#N/A</v>
      </c>
      <c r="E55" t="s">
        <v>744</v>
      </c>
      <c r="F55" t="s">
        <v>746</v>
      </c>
      <c r="G55" t="s">
        <v>1</v>
      </c>
      <c r="H55" t="s">
        <v>0</v>
      </c>
      <c r="I55" t="s">
        <v>499</v>
      </c>
      <c r="J55" t="s">
        <v>500</v>
      </c>
      <c r="K55">
        <v>128</v>
      </c>
      <c r="L55">
        <v>128</v>
      </c>
      <c r="M55" t="s">
        <v>186</v>
      </c>
      <c r="N55" t="s">
        <v>30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t="s">
        <v>1</v>
      </c>
      <c r="W55">
        <v>0</v>
      </c>
    </row>
    <row r="56" spans="1:23" x14ac:dyDescent="0.25">
      <c r="A56" s="67" t="str">
        <f>+Tabla2[[#This Row],[NOMBRE DE CLIENTE]]&amp;Tabla2[[#This Row],[ESPACIO]]&amp;Tabla2[[#This Row],[CCF]]&amp;Tabla2[[#This Row],[ESPACIO]]&amp;Tabla2[[#This Row],[N° DOC]]</f>
        <v>BANCO AGRICOLA, S.A.127</v>
      </c>
      <c r="D56" s="67">
        <f>+VLOOKUP(Tabla2[[#This Row],[NOMBRE DE CLIENTE]],[3]CATALOGO!$A:$B,2,0)</f>
        <v>11030106</v>
      </c>
      <c r="E56" t="s">
        <v>744</v>
      </c>
      <c r="F56" t="s">
        <v>746</v>
      </c>
      <c r="G56" t="s">
        <v>1</v>
      </c>
      <c r="H56" t="s">
        <v>0</v>
      </c>
      <c r="I56" t="s">
        <v>499</v>
      </c>
      <c r="J56" t="s">
        <v>500</v>
      </c>
      <c r="K56">
        <v>127</v>
      </c>
      <c r="L56">
        <v>127</v>
      </c>
      <c r="M56" t="s">
        <v>244</v>
      </c>
      <c r="N56" t="s">
        <v>245</v>
      </c>
      <c r="O56" s="3">
        <v>0</v>
      </c>
      <c r="P56" s="3">
        <v>0</v>
      </c>
      <c r="Q56" s="3">
        <v>357.36</v>
      </c>
      <c r="R56" s="3">
        <v>46.456800000000001</v>
      </c>
      <c r="S56" s="3">
        <v>0</v>
      </c>
      <c r="T56" s="3">
        <v>0</v>
      </c>
      <c r="U56" s="3">
        <v>403.82</v>
      </c>
      <c r="V56" t="s">
        <v>1</v>
      </c>
      <c r="W56">
        <v>400.24</v>
      </c>
    </row>
    <row r="57" spans="1:23" x14ac:dyDescent="0.25">
      <c r="A57" s="67" t="str">
        <f>+Tabla2[[#This Row],[NOMBRE DE CLIENTE]]&amp;Tabla2[[#This Row],[ESPACIO]]&amp;Tabla2[[#This Row],[CCF]]&amp;Tabla2[[#This Row],[ESPACIO]]&amp;Tabla2[[#This Row],[N° DOC]]</f>
        <v>BANCO AGRICOLA, S.A.126</v>
      </c>
      <c r="D57" s="67">
        <f>+VLOOKUP(Tabla2[[#This Row],[NOMBRE DE CLIENTE]],[3]CATALOGO!$A:$B,2,0)</f>
        <v>11030106</v>
      </c>
      <c r="E57" t="s">
        <v>744</v>
      </c>
      <c r="F57" t="s">
        <v>746</v>
      </c>
      <c r="G57" t="s">
        <v>1</v>
      </c>
      <c r="H57" t="s">
        <v>0</v>
      </c>
      <c r="I57" t="s">
        <v>499</v>
      </c>
      <c r="J57" t="s">
        <v>500</v>
      </c>
      <c r="K57">
        <v>126</v>
      </c>
      <c r="L57">
        <v>126</v>
      </c>
      <c r="M57" t="s">
        <v>244</v>
      </c>
      <c r="N57" t="s">
        <v>245</v>
      </c>
      <c r="O57" s="3">
        <v>0</v>
      </c>
      <c r="P57" s="3">
        <v>0</v>
      </c>
      <c r="Q57" s="3">
        <v>152.65</v>
      </c>
      <c r="R57" s="3">
        <v>19.8445</v>
      </c>
      <c r="S57" s="3">
        <v>0</v>
      </c>
      <c r="T57" s="3">
        <v>0</v>
      </c>
      <c r="U57" s="3">
        <v>172.49</v>
      </c>
      <c r="V57" t="s">
        <v>1</v>
      </c>
      <c r="W57">
        <v>170.97</v>
      </c>
    </row>
    <row r="58" spans="1:23" x14ac:dyDescent="0.25">
      <c r="A58" s="67" t="str">
        <f>+Tabla2[[#This Row],[NOMBRE DE CLIENTE]]&amp;Tabla2[[#This Row],[ESPACIO]]&amp;Tabla2[[#This Row],[CCF]]&amp;Tabla2[[#This Row],[ESPACIO]]&amp;Tabla2[[#This Row],[N° DOC]]</f>
        <v>BANCO AGRICOLA, S.A.125</v>
      </c>
      <c r="D58" s="67">
        <f>+VLOOKUP(Tabla2[[#This Row],[NOMBRE DE CLIENTE]],[3]CATALOGO!$A:$B,2,0)</f>
        <v>11030106</v>
      </c>
      <c r="E58" t="s">
        <v>744</v>
      </c>
      <c r="F58" t="s">
        <v>746</v>
      </c>
      <c r="G58" t="s">
        <v>1</v>
      </c>
      <c r="H58" t="s">
        <v>0</v>
      </c>
      <c r="I58" t="s">
        <v>499</v>
      </c>
      <c r="J58" t="s">
        <v>500</v>
      </c>
      <c r="K58">
        <v>125</v>
      </c>
      <c r="L58">
        <v>125</v>
      </c>
      <c r="M58" t="s">
        <v>244</v>
      </c>
      <c r="N58" t="s">
        <v>245</v>
      </c>
      <c r="O58" s="3">
        <v>0</v>
      </c>
      <c r="P58" s="3">
        <v>0</v>
      </c>
      <c r="Q58" s="3">
        <v>152.65</v>
      </c>
      <c r="R58" s="3">
        <v>19.8445</v>
      </c>
      <c r="S58" s="3">
        <v>0</v>
      </c>
      <c r="T58" s="3">
        <v>0</v>
      </c>
      <c r="U58" s="3">
        <v>172.49</v>
      </c>
      <c r="V58" t="s">
        <v>1</v>
      </c>
      <c r="W58">
        <v>170.97</v>
      </c>
    </row>
    <row r="59" spans="1:23" x14ac:dyDescent="0.25">
      <c r="A59" s="67" t="str">
        <f>+Tabla2[[#This Row],[NOMBRE DE CLIENTE]]&amp;Tabla2[[#This Row],[ESPACIO]]&amp;Tabla2[[#This Row],[CCF]]&amp;Tabla2[[#This Row],[ESPACIO]]&amp;Tabla2[[#This Row],[N° DOC]]</f>
        <v>SUPER REPUESTOS EL SALVADOR S.A DE C.V.124</v>
      </c>
      <c r="D59" s="67">
        <f>+VLOOKUP(Tabla2[[#This Row],[NOMBRE DE CLIENTE]],[3]CATALOGO!$A:$B,2,0)</f>
        <v>11030115</v>
      </c>
      <c r="E59" t="s">
        <v>744</v>
      </c>
      <c r="F59" t="s">
        <v>746</v>
      </c>
      <c r="G59" t="s">
        <v>1</v>
      </c>
      <c r="H59" t="s">
        <v>0</v>
      </c>
      <c r="I59" t="s">
        <v>499</v>
      </c>
      <c r="J59" t="s">
        <v>500</v>
      </c>
      <c r="K59">
        <v>124</v>
      </c>
      <c r="L59">
        <v>124</v>
      </c>
      <c r="M59" t="s">
        <v>264</v>
      </c>
      <c r="N59" t="s">
        <v>265</v>
      </c>
      <c r="O59" s="3">
        <v>0</v>
      </c>
      <c r="P59" s="3">
        <v>0</v>
      </c>
      <c r="Q59" s="3">
        <v>150</v>
      </c>
      <c r="R59" s="3">
        <v>19.5</v>
      </c>
      <c r="S59" s="3">
        <v>0</v>
      </c>
      <c r="T59" s="3">
        <v>0</v>
      </c>
      <c r="U59" s="3">
        <v>169.5</v>
      </c>
      <c r="V59" t="s">
        <v>1</v>
      </c>
      <c r="W59">
        <v>168</v>
      </c>
    </row>
    <row r="60" spans="1:23" x14ac:dyDescent="0.25">
      <c r="A60" s="67" t="str">
        <f>+Tabla2[[#This Row],[NOMBRE DE CLIENTE]]&amp;Tabla2[[#This Row],[ESPACIO]]&amp;Tabla2[[#This Row],[CCF]]&amp;Tabla2[[#This Row],[ESPACIO]]&amp;Tabla2[[#This Row],[N° DOC]]</f>
        <v>NEMTEX S.A DE C.V.123</v>
      </c>
      <c r="D60" s="67">
        <f>+VLOOKUP(Tabla2[[#This Row],[NOMBRE DE CLIENTE]],[3]CATALOGO!$A:$B,2,0)</f>
        <v>11030118</v>
      </c>
      <c r="E60" t="s">
        <v>744</v>
      </c>
      <c r="F60" t="s">
        <v>746</v>
      </c>
      <c r="G60" t="s">
        <v>1</v>
      </c>
      <c r="H60" t="s">
        <v>0</v>
      </c>
      <c r="I60" t="s">
        <v>499</v>
      </c>
      <c r="J60" t="s">
        <v>500</v>
      </c>
      <c r="K60">
        <v>123</v>
      </c>
      <c r="L60">
        <v>123</v>
      </c>
      <c r="M60" t="s">
        <v>258</v>
      </c>
      <c r="N60" t="s">
        <v>259</v>
      </c>
      <c r="O60" s="3">
        <v>0</v>
      </c>
      <c r="P60" s="3">
        <v>0</v>
      </c>
      <c r="Q60" s="3">
        <v>255.92</v>
      </c>
      <c r="R60" s="3">
        <v>33.269599999999997</v>
      </c>
      <c r="S60" s="3">
        <v>0</v>
      </c>
      <c r="T60" s="3">
        <v>0</v>
      </c>
      <c r="U60" s="3">
        <v>289.19</v>
      </c>
      <c r="V60" t="s">
        <v>1</v>
      </c>
      <c r="W60">
        <v>286.63</v>
      </c>
    </row>
    <row r="61" spans="1:23" x14ac:dyDescent="0.25">
      <c r="A61" s="67" t="str">
        <f>+Tabla2[[#This Row],[NOMBRE DE CLIENTE]]&amp;Tabla2[[#This Row],[ESPACIO]]&amp;Tabla2[[#This Row],[CCF]]&amp;Tabla2[[#This Row],[ESPACIO]]&amp;Tabla2[[#This Row],[N° DOC]]</f>
        <v>PROGURSA S.A DE C.V.122</v>
      </c>
      <c r="D61" s="67">
        <f>+VLOOKUP(Tabla2[[#This Row],[NOMBRE DE CLIENTE]],[3]CATALOGO!$A:$B,2,0)</f>
        <v>11030137</v>
      </c>
      <c r="E61" t="s">
        <v>744</v>
      </c>
      <c r="F61" t="s">
        <v>745</v>
      </c>
      <c r="G61" t="s">
        <v>1</v>
      </c>
      <c r="H61" t="s">
        <v>0</v>
      </c>
      <c r="I61" t="s">
        <v>499</v>
      </c>
      <c r="J61" t="s">
        <v>500</v>
      </c>
      <c r="K61">
        <v>122</v>
      </c>
      <c r="L61">
        <v>122</v>
      </c>
      <c r="M61" t="s">
        <v>266</v>
      </c>
      <c r="N61" t="s">
        <v>267</v>
      </c>
      <c r="O61" s="3">
        <v>0</v>
      </c>
      <c r="P61" s="3">
        <v>0</v>
      </c>
      <c r="Q61" s="3">
        <v>150</v>
      </c>
      <c r="R61" s="3">
        <v>19.5</v>
      </c>
      <c r="S61" s="3">
        <v>0</v>
      </c>
      <c r="T61" s="3">
        <v>0</v>
      </c>
      <c r="U61" s="3">
        <v>169.5</v>
      </c>
      <c r="V61" t="s">
        <v>1</v>
      </c>
      <c r="W61">
        <v>168</v>
      </c>
    </row>
    <row r="62" spans="1:23" x14ac:dyDescent="0.25">
      <c r="A62" s="67" t="str">
        <f>+Tabla2[[#This Row],[NOMBRE DE CLIENTE]]&amp;Tabla2[[#This Row],[ESPACIO]]&amp;Tabla2[[#This Row],[CCF]]&amp;Tabla2[[#This Row],[ESPACIO]]&amp;Tabla2[[#This Row],[N° DOC]]</f>
        <v>DIDEA S.A DE C.V.121</v>
      </c>
      <c r="D62" s="67">
        <f>+VLOOKUP(Tabla2[[#This Row],[NOMBRE DE CLIENTE]],[3]CATALOGO!$A:$B,2,0)</f>
        <v>11030117</v>
      </c>
      <c r="E62" t="s">
        <v>744</v>
      </c>
      <c r="F62" t="s">
        <v>745</v>
      </c>
      <c r="G62" t="s">
        <v>1</v>
      </c>
      <c r="H62" t="s">
        <v>0</v>
      </c>
      <c r="I62" t="s">
        <v>499</v>
      </c>
      <c r="J62" t="s">
        <v>500</v>
      </c>
      <c r="K62">
        <v>121</v>
      </c>
      <c r="L62">
        <v>121</v>
      </c>
      <c r="M62" t="s">
        <v>274</v>
      </c>
      <c r="N62" t="s">
        <v>275</v>
      </c>
      <c r="O62" s="3">
        <v>0</v>
      </c>
      <c r="P62" s="3">
        <v>0</v>
      </c>
      <c r="Q62" s="3">
        <v>141.1</v>
      </c>
      <c r="R62" s="3">
        <v>18.343</v>
      </c>
      <c r="S62" s="3">
        <v>0</v>
      </c>
      <c r="T62" s="3">
        <v>0</v>
      </c>
      <c r="U62" s="3">
        <v>159.44</v>
      </c>
      <c r="V62" t="s">
        <v>1</v>
      </c>
      <c r="W62">
        <v>158.03</v>
      </c>
    </row>
    <row r="63" spans="1:23" x14ac:dyDescent="0.25">
      <c r="A63" s="67" t="str">
        <f>+Tabla2[[#This Row],[NOMBRE DE CLIENTE]]&amp;Tabla2[[#This Row],[ESPACIO]]&amp;Tabla2[[#This Row],[CCF]]&amp;Tabla2[[#This Row],[ESPACIO]]&amp;Tabla2[[#This Row],[N° DOC]]</f>
        <v>TALLER DIDEA, S.A. DE C.V.120</v>
      </c>
      <c r="D63" s="67">
        <f>+VLOOKUP(Tabla2[[#This Row],[NOMBRE DE CLIENTE]],[3]CATALOGO!$A:$B,2,0)</f>
        <v>11030109</v>
      </c>
      <c r="E63" t="s">
        <v>744</v>
      </c>
      <c r="F63" t="s">
        <v>745</v>
      </c>
      <c r="G63" t="s">
        <v>1</v>
      </c>
      <c r="H63" t="s">
        <v>0</v>
      </c>
      <c r="I63" t="s">
        <v>499</v>
      </c>
      <c r="J63" t="s">
        <v>500</v>
      </c>
      <c r="K63">
        <v>120</v>
      </c>
      <c r="L63">
        <v>120</v>
      </c>
      <c r="M63" t="s">
        <v>272</v>
      </c>
      <c r="N63" t="s">
        <v>273</v>
      </c>
      <c r="O63" s="3">
        <v>0</v>
      </c>
      <c r="P63" s="3">
        <v>0</v>
      </c>
      <c r="Q63" s="3">
        <v>377.6</v>
      </c>
      <c r="R63" s="3">
        <v>49.088000000000008</v>
      </c>
      <c r="S63" s="3">
        <v>0</v>
      </c>
      <c r="T63" s="3">
        <v>0</v>
      </c>
      <c r="U63" s="3">
        <v>426.69</v>
      </c>
      <c r="V63" t="s">
        <v>1</v>
      </c>
      <c r="W63">
        <v>422.91</v>
      </c>
    </row>
    <row r="64" spans="1:23" x14ac:dyDescent="0.25">
      <c r="A64" s="67" t="str">
        <f>+Tabla2[[#This Row],[NOMBRE DE CLIENTE]]&amp;Tabla2[[#This Row],[ESPACIO]]&amp;Tabla2[[#This Row],[CCF]]&amp;Tabla2[[#This Row],[ESPACIO]]&amp;Tabla2[[#This Row],[N° DOC]]</f>
        <v>PINTURA Y ENDEREZADO S.A DE C.V.119</v>
      </c>
      <c r="D64" s="67">
        <f>+VLOOKUP(Tabla2[[#This Row],[NOMBRE DE CLIENTE]],[3]CATALOGO!$A:$B,2,0)</f>
        <v>11030112</v>
      </c>
      <c r="E64" t="s">
        <v>744</v>
      </c>
      <c r="F64" t="s">
        <v>745</v>
      </c>
      <c r="G64" t="s">
        <v>1</v>
      </c>
      <c r="H64" t="s">
        <v>0</v>
      </c>
      <c r="I64" t="s">
        <v>499</v>
      </c>
      <c r="J64" t="s">
        <v>500</v>
      </c>
      <c r="K64">
        <v>119</v>
      </c>
      <c r="L64">
        <v>119</v>
      </c>
      <c r="M64" t="s">
        <v>270</v>
      </c>
      <c r="N64" t="s">
        <v>271</v>
      </c>
      <c r="O64" s="3">
        <v>0</v>
      </c>
      <c r="P64" s="3">
        <v>0</v>
      </c>
      <c r="Q64" s="3">
        <v>148.04</v>
      </c>
      <c r="R64" s="3">
        <v>19.245200000000001</v>
      </c>
      <c r="S64" s="3">
        <v>0</v>
      </c>
      <c r="T64" s="3">
        <v>0</v>
      </c>
      <c r="U64" s="3">
        <v>167.29</v>
      </c>
      <c r="V64" t="s">
        <v>1</v>
      </c>
      <c r="W64">
        <v>165.8</v>
      </c>
    </row>
    <row r="65" spans="1:23" x14ac:dyDescent="0.25">
      <c r="A65" s="67" t="str">
        <f>+Tabla2[[#This Row],[NOMBRE DE CLIENTE]]&amp;Tabla2[[#This Row],[ESPACIO]]&amp;Tabla2[[#This Row],[CCF]]&amp;Tabla2[[#This Row],[ESPACIO]]&amp;Tabla2[[#This Row],[N° DOC]]</f>
        <v>HOTELES S.A DE C.V.118</v>
      </c>
      <c r="D65" s="67">
        <f>+VLOOKUP(Tabla2[[#This Row],[NOMBRE DE CLIENTE]],[3]CATALOGO!$A:$B,2,0)</f>
        <v>11030111</v>
      </c>
      <c r="E65" t="s">
        <v>744</v>
      </c>
      <c r="F65" t="s">
        <v>745</v>
      </c>
      <c r="G65" t="s">
        <v>1</v>
      </c>
      <c r="H65" t="s">
        <v>0</v>
      </c>
      <c r="I65" t="s">
        <v>499</v>
      </c>
      <c r="J65" t="s">
        <v>500</v>
      </c>
      <c r="K65">
        <v>118</v>
      </c>
      <c r="L65">
        <v>118</v>
      </c>
      <c r="M65" t="s">
        <v>268</v>
      </c>
      <c r="N65" t="s">
        <v>269</v>
      </c>
      <c r="O65" s="3">
        <v>0</v>
      </c>
      <c r="P65" s="3">
        <v>0</v>
      </c>
      <c r="Q65" s="3">
        <v>750</v>
      </c>
      <c r="R65" s="3">
        <v>97.5</v>
      </c>
      <c r="S65" s="3">
        <v>0</v>
      </c>
      <c r="T65" s="3">
        <v>0</v>
      </c>
      <c r="U65" s="3">
        <v>847.5</v>
      </c>
      <c r="V65" t="s">
        <v>1</v>
      </c>
      <c r="W65">
        <v>840</v>
      </c>
    </row>
    <row r="66" spans="1:23" x14ac:dyDescent="0.25">
      <c r="A66" s="67" t="str">
        <f>+Tabla2[[#This Row],[NOMBRE DE CLIENTE]]&amp;Tabla2[[#This Row],[ESPACIO]]&amp;Tabla2[[#This Row],[CCF]]&amp;Tabla2[[#This Row],[ESPACIO]]&amp;Tabla2[[#This Row],[N° DOC]]</f>
        <v>OPERADORA DEL SUR, S. A. DE C.V.117</v>
      </c>
      <c r="D66" s="67">
        <f>+VLOOKUP(Tabla2[[#This Row],[NOMBRE DE CLIENTE]],[3]CATALOGO!$A:$B,2,0)</f>
        <v>11030105</v>
      </c>
      <c r="E66" t="s">
        <v>701</v>
      </c>
      <c r="F66" t="s">
        <v>728</v>
      </c>
      <c r="G66" t="s">
        <v>1</v>
      </c>
      <c r="H66" t="s">
        <v>0</v>
      </c>
      <c r="I66" t="s">
        <v>499</v>
      </c>
      <c r="J66" t="s">
        <v>500</v>
      </c>
      <c r="K66">
        <v>117</v>
      </c>
      <c r="L66">
        <v>117</v>
      </c>
      <c r="M66" t="s">
        <v>240</v>
      </c>
      <c r="N66" t="s">
        <v>241</v>
      </c>
      <c r="O66" s="3">
        <v>0</v>
      </c>
      <c r="P66" s="3">
        <v>0</v>
      </c>
      <c r="Q66" s="3">
        <v>1820.91</v>
      </c>
      <c r="R66" s="3">
        <v>236.71830000000003</v>
      </c>
      <c r="S66" s="3">
        <v>0</v>
      </c>
      <c r="T66" s="3">
        <v>0</v>
      </c>
      <c r="U66" s="3">
        <v>2057.63</v>
      </c>
      <c r="V66" t="s">
        <v>1</v>
      </c>
      <c r="W66">
        <v>2039.42</v>
      </c>
    </row>
    <row r="67" spans="1:23" x14ac:dyDescent="0.25">
      <c r="A67" s="67" t="str">
        <f>+Tabla2[[#This Row],[NOMBRE DE CLIENTE]]&amp;Tabla2[[#This Row],[ESPACIO]]&amp;Tabla2[[#This Row],[CCF]]&amp;Tabla2[[#This Row],[ESPACIO]]&amp;Tabla2[[#This Row],[N° DOC]]</f>
        <v>POLYBAG S.A DE C.V.116</v>
      </c>
      <c r="D67" s="67">
        <f>+VLOOKUP(Tabla2[[#This Row],[NOMBRE DE CLIENTE]],[3]CATALOGO!$A:$B,2,0)</f>
        <v>11030124</v>
      </c>
      <c r="E67" t="s">
        <v>701</v>
      </c>
      <c r="F67" t="s">
        <v>728</v>
      </c>
      <c r="G67" t="s">
        <v>1</v>
      </c>
      <c r="H67" t="s">
        <v>0</v>
      </c>
      <c r="I67" t="s">
        <v>499</v>
      </c>
      <c r="J67" t="s">
        <v>500</v>
      </c>
      <c r="K67">
        <v>116</v>
      </c>
      <c r="L67">
        <v>116</v>
      </c>
      <c r="M67" t="s">
        <v>256</v>
      </c>
      <c r="N67" t="s">
        <v>257</v>
      </c>
      <c r="O67" s="3">
        <v>0</v>
      </c>
      <c r="P67" s="3">
        <v>0</v>
      </c>
      <c r="Q67" s="3">
        <v>580</v>
      </c>
      <c r="R67" s="3">
        <v>75.400000000000006</v>
      </c>
      <c r="S67" s="3">
        <v>0</v>
      </c>
      <c r="T67" s="3">
        <v>0</v>
      </c>
      <c r="U67" s="3">
        <v>655.4</v>
      </c>
      <c r="V67" t="s">
        <v>1</v>
      </c>
      <c r="W67">
        <v>649.6</v>
      </c>
    </row>
    <row r="68" spans="1:23" x14ac:dyDescent="0.25">
      <c r="A68" s="67" t="str">
        <f>+Tabla2[[#This Row],[NOMBRE DE CLIENTE]]&amp;Tabla2[[#This Row],[ESPACIO]]&amp;Tabla2[[#This Row],[CCF]]&amp;Tabla2[[#This Row],[ESPACIO]]&amp;Tabla2[[#This Row],[N° DOC]]</f>
        <v>CAEX LOGISTICS S.A DE C.V.115</v>
      </c>
      <c r="D68" s="67">
        <f>+VLOOKUP(Tabla2[[#This Row],[NOMBRE DE CLIENTE]],[3]CATALOGO!$A:$B,2,0)</f>
        <v>11030145</v>
      </c>
      <c r="E68" t="s">
        <v>701</v>
      </c>
      <c r="F68" t="s">
        <v>728</v>
      </c>
      <c r="G68" t="s">
        <v>1</v>
      </c>
      <c r="H68" t="s">
        <v>0</v>
      </c>
      <c r="I68" t="s">
        <v>499</v>
      </c>
      <c r="J68" t="s">
        <v>500</v>
      </c>
      <c r="K68">
        <v>115</v>
      </c>
      <c r="L68">
        <v>115</v>
      </c>
      <c r="M68" t="s">
        <v>522</v>
      </c>
      <c r="N68" t="s">
        <v>523</v>
      </c>
      <c r="O68" s="3">
        <v>0</v>
      </c>
      <c r="P68" s="3">
        <v>0</v>
      </c>
      <c r="Q68" s="3">
        <v>275</v>
      </c>
      <c r="R68" s="3">
        <v>35.75</v>
      </c>
      <c r="S68" s="3">
        <v>0</v>
      </c>
      <c r="T68" s="3">
        <v>0</v>
      </c>
      <c r="U68" s="3">
        <v>310.75</v>
      </c>
      <c r="V68" t="s">
        <v>1</v>
      </c>
      <c r="W68">
        <v>308</v>
      </c>
    </row>
    <row r="69" spans="1:23" x14ac:dyDescent="0.25">
      <c r="A69" s="67" t="str">
        <f>+Tabla2[[#This Row],[NOMBRE DE CLIENTE]]&amp;Tabla2[[#This Row],[ESPACIO]]&amp;Tabla2[[#This Row],[CCF]]&amp;Tabla2[[#This Row],[ESPACIO]]&amp;Tabla2[[#This Row],[N° DOC]]</f>
        <v>PRODUCTOS CARNICOS S.A DE C.V.114</v>
      </c>
      <c r="D69" s="67">
        <f>+VLOOKUP(Tabla2[[#This Row],[NOMBRE DE CLIENTE]],[3]CATALOGO!$A:$B,2,0)</f>
        <v>11030103</v>
      </c>
      <c r="E69" t="s">
        <v>701</v>
      </c>
      <c r="F69" t="s">
        <v>728</v>
      </c>
      <c r="G69" t="s">
        <v>1</v>
      </c>
      <c r="H69" t="s">
        <v>0</v>
      </c>
      <c r="I69" t="s">
        <v>499</v>
      </c>
      <c r="J69" t="s">
        <v>500</v>
      </c>
      <c r="K69">
        <v>114</v>
      </c>
      <c r="L69">
        <v>114</v>
      </c>
      <c r="M69" t="s">
        <v>242</v>
      </c>
      <c r="N69" t="s">
        <v>243</v>
      </c>
      <c r="O69" s="3">
        <v>0</v>
      </c>
      <c r="P69" s="3">
        <v>0</v>
      </c>
      <c r="Q69" s="3">
        <v>344.6</v>
      </c>
      <c r="R69" s="3">
        <v>44.798000000000002</v>
      </c>
      <c r="S69" s="3">
        <v>0</v>
      </c>
      <c r="T69" s="3">
        <v>0</v>
      </c>
      <c r="U69" s="3">
        <v>389.4</v>
      </c>
      <c r="V69" t="s">
        <v>1</v>
      </c>
      <c r="W69">
        <v>385.95</v>
      </c>
    </row>
    <row r="70" spans="1:23" x14ac:dyDescent="0.25">
      <c r="A70" s="67" t="str">
        <f>+Tabla2[[#This Row],[NOMBRE DE CLIENTE]]&amp;Tabla2[[#This Row],[ESPACIO]]&amp;Tabla2[[#This Row],[CCF]]&amp;Tabla2[[#This Row],[ESPACIO]]&amp;Tabla2[[#This Row],[N° DOC]]</f>
        <v>PRODUCTOS CARNICOS S.A DE C.V.113</v>
      </c>
      <c r="D70" s="67">
        <f>+VLOOKUP(Tabla2[[#This Row],[NOMBRE DE CLIENTE]],[3]CATALOGO!$A:$B,2,0)</f>
        <v>11030103</v>
      </c>
      <c r="E70" t="s">
        <v>701</v>
      </c>
      <c r="F70" t="s">
        <v>728</v>
      </c>
      <c r="G70" t="s">
        <v>1</v>
      </c>
      <c r="H70" t="s">
        <v>0</v>
      </c>
      <c r="I70" t="s">
        <v>499</v>
      </c>
      <c r="J70" t="s">
        <v>500</v>
      </c>
      <c r="K70">
        <v>113</v>
      </c>
      <c r="L70">
        <v>113</v>
      </c>
      <c r="M70" t="s">
        <v>242</v>
      </c>
      <c r="N70" t="s">
        <v>243</v>
      </c>
      <c r="O70" s="3">
        <v>0</v>
      </c>
      <c r="P70" s="3">
        <v>0</v>
      </c>
      <c r="Q70" s="3">
        <v>2735.6</v>
      </c>
      <c r="R70" s="3">
        <v>355.62799999999999</v>
      </c>
      <c r="S70" s="3">
        <v>0</v>
      </c>
      <c r="T70" s="3">
        <v>0</v>
      </c>
      <c r="U70" s="3">
        <v>3091.23</v>
      </c>
      <c r="V70" t="s">
        <v>1</v>
      </c>
      <c r="W70">
        <v>3063.87</v>
      </c>
    </row>
    <row r="71" spans="1:23" x14ac:dyDescent="0.25">
      <c r="A71" s="67" t="str">
        <f>+Tabla2[[#This Row],[NOMBRE DE CLIENTE]]&amp;Tabla2[[#This Row],[ESPACIO]]&amp;Tabla2[[#This Row],[CCF]]&amp;Tabla2[[#This Row],[ESPACIO]]&amp;Tabla2[[#This Row],[N° DOC]]</f>
        <v>ANULADO112</v>
      </c>
      <c r="D71" s="67" t="e">
        <f>+VLOOKUP(Tabla2[[#This Row],[NOMBRE DE CLIENTE]],[3]CATALOGO!$A:$B,2,0)</f>
        <v>#N/A</v>
      </c>
      <c r="E71" t="s">
        <v>701</v>
      </c>
      <c r="F71" t="s">
        <v>726</v>
      </c>
      <c r="G71" t="s">
        <v>1</v>
      </c>
      <c r="H71" t="s">
        <v>0</v>
      </c>
      <c r="I71" t="s">
        <v>499</v>
      </c>
      <c r="J71" t="s">
        <v>500</v>
      </c>
      <c r="K71">
        <v>112</v>
      </c>
      <c r="L71">
        <v>112</v>
      </c>
      <c r="M71" t="s">
        <v>186</v>
      </c>
      <c r="N71" t="s">
        <v>30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t="s">
        <v>1</v>
      </c>
      <c r="W71">
        <v>0</v>
      </c>
    </row>
    <row r="72" spans="1:23" x14ac:dyDescent="0.25">
      <c r="A72" s="67" t="str">
        <f>+Tabla2[[#This Row],[NOMBRE DE CLIENTE]]&amp;Tabla2[[#This Row],[ESPACIO]]&amp;Tabla2[[#This Row],[CCF]]&amp;Tabla2[[#This Row],[ESPACIO]]&amp;Tabla2[[#This Row],[N° DOC]]</f>
        <v>ENMANUEL S.A DE C.V.111</v>
      </c>
      <c r="D72" s="67">
        <f>+VLOOKUP(Tabla2[[#This Row],[NOMBRE DE CLIENTE]],[3]CATALOGO!$A:$B,2,0)</f>
        <v>11030127</v>
      </c>
      <c r="E72" t="s">
        <v>701</v>
      </c>
      <c r="F72" t="s">
        <v>726</v>
      </c>
      <c r="G72" t="s">
        <v>1</v>
      </c>
      <c r="H72" t="s">
        <v>0</v>
      </c>
      <c r="I72" t="s">
        <v>499</v>
      </c>
      <c r="J72" t="s">
        <v>500</v>
      </c>
      <c r="K72">
        <v>111</v>
      </c>
      <c r="L72">
        <v>111</v>
      </c>
      <c r="M72" t="s">
        <v>254</v>
      </c>
      <c r="N72" t="s">
        <v>255</v>
      </c>
      <c r="O72" s="3">
        <v>0</v>
      </c>
      <c r="P72" s="3">
        <v>0</v>
      </c>
      <c r="Q72" s="3">
        <v>300</v>
      </c>
      <c r="R72" s="3">
        <v>39</v>
      </c>
      <c r="S72" s="3">
        <v>0</v>
      </c>
      <c r="T72" s="3">
        <v>0</v>
      </c>
      <c r="U72" s="3">
        <v>339</v>
      </c>
      <c r="V72" t="s">
        <v>1</v>
      </c>
      <c r="W72">
        <v>336</v>
      </c>
    </row>
    <row r="73" spans="1:23" x14ac:dyDescent="0.25">
      <c r="A73" s="67" t="str">
        <f>+Tabla2[[#This Row],[NOMBRE DE CLIENTE]]&amp;Tabla2[[#This Row],[ESPACIO]]&amp;Tabla2[[#This Row],[CCF]]&amp;Tabla2[[#This Row],[ESPACIO]]&amp;Tabla2[[#This Row],[N° DOC]]</f>
        <v>ANULADO110</v>
      </c>
      <c r="D73" s="67" t="e">
        <f>+VLOOKUP(Tabla2[[#This Row],[NOMBRE DE CLIENTE]],[3]CATALOGO!$A:$B,2,0)</f>
        <v>#N/A</v>
      </c>
      <c r="E73" t="s">
        <v>701</v>
      </c>
      <c r="F73" t="s">
        <v>726</v>
      </c>
      <c r="G73" t="s">
        <v>1</v>
      </c>
      <c r="H73" t="s">
        <v>0</v>
      </c>
      <c r="I73" t="s">
        <v>499</v>
      </c>
      <c r="J73" t="s">
        <v>500</v>
      </c>
      <c r="K73">
        <v>110</v>
      </c>
      <c r="L73">
        <v>110</v>
      </c>
      <c r="M73" t="s">
        <v>186</v>
      </c>
      <c r="N73" t="s">
        <v>30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t="s">
        <v>1</v>
      </c>
      <c r="W73">
        <v>0</v>
      </c>
    </row>
    <row r="74" spans="1:23" x14ac:dyDescent="0.25">
      <c r="A74" s="67" t="str">
        <f>+Tabla2[[#This Row],[NOMBRE DE CLIENTE]]&amp;Tabla2[[#This Row],[ESPACIO]]&amp;Tabla2[[#This Row],[CCF]]&amp;Tabla2[[#This Row],[ESPACIO]]&amp;Tabla2[[#This Row],[N° DOC]]</f>
        <v>NEGOCIOS CAMYRAM S.A DE C.V109</v>
      </c>
      <c r="D74" s="67">
        <f>+VLOOKUP(Tabla2[[#This Row],[NOMBRE DE CLIENTE]],[3]CATALOGO!$A:$B,2,0)</f>
        <v>11030102</v>
      </c>
      <c r="E74" t="s">
        <v>701</v>
      </c>
      <c r="F74" t="s">
        <v>726</v>
      </c>
      <c r="G74" t="s">
        <v>1</v>
      </c>
      <c r="H74" t="s">
        <v>0</v>
      </c>
      <c r="I74" t="s">
        <v>499</v>
      </c>
      <c r="J74" t="s">
        <v>500</v>
      </c>
      <c r="K74">
        <v>109</v>
      </c>
      <c r="L74">
        <v>109</v>
      </c>
      <c r="M74" t="s">
        <v>246</v>
      </c>
      <c r="N74" t="s">
        <v>247</v>
      </c>
      <c r="O74" s="3">
        <v>0</v>
      </c>
      <c r="P74" s="3">
        <v>0</v>
      </c>
      <c r="Q74" s="3">
        <v>360.26</v>
      </c>
      <c r="R74" s="3">
        <v>46.833800000000004</v>
      </c>
      <c r="S74" s="3">
        <v>0</v>
      </c>
      <c r="T74" s="3">
        <v>0</v>
      </c>
      <c r="U74" s="3">
        <v>407.09</v>
      </c>
      <c r="V74" t="s">
        <v>1</v>
      </c>
      <c r="W74">
        <v>403.49</v>
      </c>
    </row>
    <row r="75" spans="1:23" x14ac:dyDescent="0.25">
      <c r="A75" s="67" t="str">
        <f>+Tabla2[[#This Row],[NOMBRE DE CLIENTE]]&amp;Tabla2[[#This Row],[ESPACIO]]&amp;Tabla2[[#This Row],[CCF]]&amp;Tabla2[[#This Row],[ESPACIO]]&amp;Tabla2[[#This Row],[N° DOC]]</f>
        <v>INDUSTRIAS MIKE MIKE S.A DE C.V.108</v>
      </c>
      <c r="D75" s="67">
        <f>+VLOOKUP(Tabla2[[#This Row],[NOMBRE DE CLIENTE]],[3]CATALOGO!$A:$B,2,0)</f>
        <v>11030116</v>
      </c>
      <c r="E75" t="s">
        <v>701</v>
      </c>
      <c r="F75" t="s">
        <v>726</v>
      </c>
      <c r="G75" t="s">
        <v>1</v>
      </c>
      <c r="H75" t="s">
        <v>0</v>
      </c>
      <c r="I75" t="s">
        <v>499</v>
      </c>
      <c r="J75" t="s">
        <v>500</v>
      </c>
      <c r="K75">
        <v>108</v>
      </c>
      <c r="L75">
        <v>108</v>
      </c>
      <c r="M75" t="s">
        <v>248</v>
      </c>
      <c r="N75" t="s">
        <v>249</v>
      </c>
      <c r="O75" s="3">
        <v>0</v>
      </c>
      <c r="P75" s="3">
        <v>0</v>
      </c>
      <c r="Q75" s="3">
        <v>165.92</v>
      </c>
      <c r="R75" s="3">
        <v>21.569599999999998</v>
      </c>
      <c r="S75" s="3">
        <v>0</v>
      </c>
      <c r="T75" s="3">
        <v>0</v>
      </c>
      <c r="U75" s="3">
        <v>187.49</v>
      </c>
      <c r="V75" t="s">
        <v>1</v>
      </c>
      <c r="W75">
        <v>185.83</v>
      </c>
    </row>
    <row r="76" spans="1:23" x14ac:dyDescent="0.25">
      <c r="A76" s="67" t="str">
        <f>+Tabla2[[#This Row],[NOMBRE DE CLIENTE]]&amp;Tabla2[[#This Row],[ESPACIO]]&amp;Tabla2[[#This Row],[CCF]]&amp;Tabla2[[#This Row],[ESPACIO]]&amp;Tabla2[[#This Row],[N° DOC]]</f>
        <v>ESTABLECIMIENTOS ANCALMO, S.A DE C.V107</v>
      </c>
      <c r="D76" s="67">
        <f>+VLOOKUP(Tabla2[[#This Row],[NOMBRE DE CLIENTE]],[3]CATALOGO!$A:$B,2,0)</f>
        <v>11030110</v>
      </c>
      <c r="E76" t="s">
        <v>701</v>
      </c>
      <c r="F76" t="s">
        <v>719</v>
      </c>
      <c r="G76" t="s">
        <v>1</v>
      </c>
      <c r="H76" t="s">
        <v>0</v>
      </c>
      <c r="I76" t="s">
        <v>499</v>
      </c>
      <c r="J76" t="s">
        <v>500</v>
      </c>
      <c r="K76">
        <v>107</v>
      </c>
      <c r="L76">
        <v>107</v>
      </c>
      <c r="M76" t="s">
        <v>282</v>
      </c>
      <c r="N76" t="s">
        <v>283</v>
      </c>
      <c r="O76" s="3">
        <v>0</v>
      </c>
      <c r="P76" s="3">
        <v>0</v>
      </c>
      <c r="Q76" s="3">
        <v>143.63999999999999</v>
      </c>
      <c r="R76" s="3">
        <v>18.673199999999998</v>
      </c>
      <c r="S76" s="3">
        <v>0</v>
      </c>
      <c r="T76" s="3">
        <v>0</v>
      </c>
      <c r="U76" s="3">
        <v>162.31</v>
      </c>
      <c r="V76" t="s">
        <v>1</v>
      </c>
      <c r="W76">
        <v>160.88</v>
      </c>
    </row>
    <row r="77" spans="1:23" x14ac:dyDescent="0.25">
      <c r="A77" s="67" t="str">
        <f>+Tabla2[[#This Row],[NOMBRE DE CLIENTE]]&amp;Tabla2[[#This Row],[ESPACIO]]&amp;Tabla2[[#This Row],[CCF]]&amp;Tabla2[[#This Row],[ESPACIO]]&amp;Tabla2[[#This Row],[N° DOC]]</f>
        <v>OPERADORA DEL SUR, S. A. DE C.V.106</v>
      </c>
      <c r="D77" s="67">
        <f>+VLOOKUP(Tabla2[[#This Row],[NOMBRE DE CLIENTE]],[3]CATALOGO!$A:$B,2,0)</f>
        <v>11030105</v>
      </c>
      <c r="E77" t="s">
        <v>701</v>
      </c>
      <c r="F77" t="s">
        <v>719</v>
      </c>
      <c r="G77" t="s">
        <v>1</v>
      </c>
      <c r="H77" t="s">
        <v>0</v>
      </c>
      <c r="I77" t="s">
        <v>499</v>
      </c>
      <c r="J77" t="s">
        <v>500</v>
      </c>
      <c r="K77">
        <v>106</v>
      </c>
      <c r="L77">
        <v>106</v>
      </c>
      <c r="M77" t="s">
        <v>240</v>
      </c>
      <c r="N77" t="s">
        <v>241</v>
      </c>
      <c r="O77" s="3">
        <v>0</v>
      </c>
      <c r="P77" s="3">
        <v>0</v>
      </c>
      <c r="Q77" s="3">
        <v>1343.12</v>
      </c>
      <c r="R77" s="3">
        <v>174.60559999999998</v>
      </c>
      <c r="S77" s="3">
        <v>0</v>
      </c>
      <c r="T77" s="3">
        <v>0</v>
      </c>
      <c r="U77" s="3">
        <v>1517.73</v>
      </c>
      <c r="V77" t="s">
        <v>1</v>
      </c>
      <c r="W77">
        <v>1504.29</v>
      </c>
    </row>
    <row r="78" spans="1:23" x14ac:dyDescent="0.25">
      <c r="A78" s="67" t="str">
        <f>+Tabla2[[#This Row],[NOMBRE DE CLIENTE]]&amp;Tabla2[[#This Row],[ESPACIO]]&amp;Tabla2[[#This Row],[CCF]]&amp;Tabla2[[#This Row],[ESPACIO]]&amp;Tabla2[[#This Row],[N° DOC]]</f>
        <v>OPERADORA DEL SUR, S. A. DE C.V.105</v>
      </c>
      <c r="D78" s="67">
        <f>+VLOOKUP(Tabla2[[#This Row],[NOMBRE DE CLIENTE]],[3]CATALOGO!$A:$B,2,0)</f>
        <v>11030105</v>
      </c>
      <c r="E78" t="s">
        <v>701</v>
      </c>
      <c r="F78" t="s">
        <v>719</v>
      </c>
      <c r="G78" t="s">
        <v>1</v>
      </c>
      <c r="H78" t="s">
        <v>0</v>
      </c>
      <c r="I78" t="s">
        <v>499</v>
      </c>
      <c r="J78" t="s">
        <v>500</v>
      </c>
      <c r="K78">
        <v>105</v>
      </c>
      <c r="L78">
        <v>105</v>
      </c>
      <c r="M78" t="s">
        <v>240</v>
      </c>
      <c r="N78" t="s">
        <v>241</v>
      </c>
      <c r="O78" s="3">
        <v>0</v>
      </c>
      <c r="P78" s="3">
        <v>0</v>
      </c>
      <c r="Q78" s="3">
        <v>6791.17</v>
      </c>
      <c r="R78" s="3">
        <v>882.85210000000006</v>
      </c>
      <c r="S78" s="3">
        <v>0</v>
      </c>
      <c r="T78" s="3">
        <v>0</v>
      </c>
      <c r="U78" s="3">
        <v>7674.02</v>
      </c>
      <c r="V78" t="s">
        <v>1</v>
      </c>
      <c r="W78">
        <v>7606.11</v>
      </c>
    </row>
    <row r="79" spans="1:23" x14ac:dyDescent="0.25">
      <c r="A79" s="67" t="str">
        <f>+Tabla2[[#This Row],[NOMBRE DE CLIENTE]]&amp;Tabla2[[#This Row],[ESPACIO]]&amp;Tabla2[[#This Row],[CCF]]&amp;Tabla2[[#This Row],[ESPACIO]]&amp;Tabla2[[#This Row],[N° DOC]]</f>
        <v>OPERADORA DEL SUR, S. A. DE C.V.104</v>
      </c>
      <c r="D79" s="67">
        <f>+VLOOKUP(Tabla2[[#This Row],[NOMBRE DE CLIENTE]],[3]CATALOGO!$A:$B,2,0)</f>
        <v>11030105</v>
      </c>
      <c r="E79" t="s">
        <v>701</v>
      </c>
      <c r="F79" t="s">
        <v>715</v>
      </c>
      <c r="G79" t="s">
        <v>1</v>
      </c>
      <c r="H79" t="s">
        <v>0</v>
      </c>
      <c r="I79" t="s">
        <v>499</v>
      </c>
      <c r="J79" t="s">
        <v>500</v>
      </c>
      <c r="K79">
        <v>104</v>
      </c>
      <c r="L79">
        <v>104</v>
      </c>
      <c r="M79" t="s">
        <v>240</v>
      </c>
      <c r="N79" t="s">
        <v>241</v>
      </c>
      <c r="O79" s="3">
        <v>0</v>
      </c>
      <c r="P79" s="3">
        <v>0</v>
      </c>
      <c r="Q79" s="3">
        <v>537.4</v>
      </c>
      <c r="R79" s="3">
        <v>69.861999999999995</v>
      </c>
      <c r="S79" s="3">
        <v>0</v>
      </c>
      <c r="T79" s="3">
        <v>0</v>
      </c>
      <c r="U79" s="3">
        <v>607.26</v>
      </c>
      <c r="V79" t="s">
        <v>1</v>
      </c>
      <c r="W79">
        <v>601.89</v>
      </c>
    </row>
    <row r="80" spans="1:23" x14ac:dyDescent="0.25">
      <c r="A80" s="67" t="str">
        <f>+Tabla2[[#This Row],[NOMBRE DE CLIENTE]]&amp;Tabla2[[#This Row],[ESPACIO]]&amp;Tabla2[[#This Row],[CCF]]&amp;Tabla2[[#This Row],[ESPACIO]]&amp;Tabla2[[#This Row],[N° DOC]]</f>
        <v>ANULADO103</v>
      </c>
      <c r="D80" s="67" t="e">
        <f>+VLOOKUP(Tabla2[[#This Row],[NOMBRE DE CLIENTE]],[3]CATALOGO!$A:$B,2,0)</f>
        <v>#N/A</v>
      </c>
      <c r="E80" t="s">
        <v>701</v>
      </c>
      <c r="F80" t="s">
        <v>712</v>
      </c>
      <c r="G80" t="s">
        <v>1</v>
      </c>
      <c r="H80" t="s">
        <v>0</v>
      </c>
      <c r="I80" t="s">
        <v>499</v>
      </c>
      <c r="J80" t="s">
        <v>500</v>
      </c>
      <c r="K80">
        <v>103</v>
      </c>
      <c r="L80">
        <v>103</v>
      </c>
      <c r="M80" t="s">
        <v>186</v>
      </c>
      <c r="N80" t="s">
        <v>30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t="s">
        <v>1</v>
      </c>
      <c r="W80">
        <v>0</v>
      </c>
    </row>
    <row r="81" spans="1:23" x14ac:dyDescent="0.25">
      <c r="A81" s="67" t="str">
        <f>+Tabla2[[#This Row],[NOMBRE DE CLIENTE]]&amp;Tabla2[[#This Row],[ESPACIO]]&amp;Tabla2[[#This Row],[CCF]]&amp;Tabla2[[#This Row],[ESPACIO]]&amp;Tabla2[[#This Row],[N° DOC]]</f>
        <v>INVERSIONES STANLEY PACIFICO S.A DE C.V.102</v>
      </c>
      <c r="D81" s="67">
        <f>+VLOOKUP(Tabla2[[#This Row],[NOMBRE DE CLIENTE]],[3]CATALOGO!$A:$B,2,0)</f>
        <v>11030113</v>
      </c>
      <c r="E81" t="s">
        <v>701</v>
      </c>
      <c r="F81" t="s">
        <v>712</v>
      </c>
      <c r="G81" t="s">
        <v>1</v>
      </c>
      <c r="H81" t="s">
        <v>0</v>
      </c>
      <c r="I81" t="s">
        <v>499</v>
      </c>
      <c r="J81" t="s">
        <v>500</v>
      </c>
      <c r="K81">
        <v>102</v>
      </c>
      <c r="L81">
        <v>102</v>
      </c>
      <c r="M81" t="s">
        <v>252</v>
      </c>
      <c r="N81" t="s">
        <v>253</v>
      </c>
      <c r="O81" s="3">
        <v>0</v>
      </c>
      <c r="P81" s="3">
        <v>0</v>
      </c>
      <c r="Q81" s="3">
        <v>386.64</v>
      </c>
      <c r="R81" s="3">
        <v>50.263199999999998</v>
      </c>
      <c r="S81" s="3">
        <v>0</v>
      </c>
      <c r="T81" s="3">
        <v>0</v>
      </c>
      <c r="U81" s="3">
        <v>436.9</v>
      </c>
      <c r="V81" t="s">
        <v>1</v>
      </c>
      <c r="W81">
        <v>433.04</v>
      </c>
    </row>
    <row r="82" spans="1:23" x14ac:dyDescent="0.25">
      <c r="A82" s="67" t="str">
        <f>+Tabla2[[#This Row],[NOMBRE DE CLIENTE]]&amp;Tabla2[[#This Row],[ESPACIO]]&amp;Tabla2[[#This Row],[CCF]]&amp;Tabla2[[#This Row],[ESPACIO]]&amp;Tabla2[[#This Row],[N° DOC]]</f>
        <v>ANULADO101</v>
      </c>
      <c r="D82" s="67" t="e">
        <f>+VLOOKUP(Tabla2[[#This Row],[NOMBRE DE CLIENTE]],[3]CATALOGO!$A:$B,2,0)</f>
        <v>#N/A</v>
      </c>
      <c r="E82" t="s">
        <v>701</v>
      </c>
      <c r="F82" t="s">
        <v>712</v>
      </c>
      <c r="G82" t="s">
        <v>1</v>
      </c>
      <c r="H82" t="s">
        <v>0</v>
      </c>
      <c r="I82" t="s">
        <v>499</v>
      </c>
      <c r="J82" t="s">
        <v>500</v>
      </c>
      <c r="K82">
        <v>101</v>
      </c>
      <c r="L82">
        <v>101</v>
      </c>
      <c r="M82" t="s">
        <v>186</v>
      </c>
      <c r="N82" t="s">
        <v>30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t="s">
        <v>1</v>
      </c>
      <c r="W82">
        <v>0</v>
      </c>
    </row>
    <row r="83" spans="1:23" x14ac:dyDescent="0.25">
      <c r="A83" s="67" t="str">
        <f>+Tabla2[[#This Row],[NOMBRE DE CLIENTE]]&amp;Tabla2[[#This Row],[ESPACIO]]&amp;Tabla2[[#This Row],[CCF]]&amp;Tabla2[[#This Row],[ESPACIO]]&amp;Tabla2[[#This Row],[N° DOC]]</f>
        <v>OPERADORA DEL SUR, S. A. DE C.V.100</v>
      </c>
      <c r="D83" s="67">
        <f>+VLOOKUP(Tabla2[[#This Row],[NOMBRE DE CLIENTE]],[3]CATALOGO!$A:$B,2,0)</f>
        <v>11030105</v>
      </c>
      <c r="E83" t="s">
        <v>701</v>
      </c>
      <c r="F83" t="s">
        <v>712</v>
      </c>
      <c r="G83" t="s">
        <v>1</v>
      </c>
      <c r="H83" t="s">
        <v>0</v>
      </c>
      <c r="I83" t="s">
        <v>499</v>
      </c>
      <c r="J83" t="s">
        <v>500</v>
      </c>
      <c r="K83">
        <v>100</v>
      </c>
      <c r="L83">
        <v>100</v>
      </c>
      <c r="M83" t="s">
        <v>240</v>
      </c>
      <c r="N83" t="s">
        <v>241</v>
      </c>
      <c r="O83" s="3">
        <v>0</v>
      </c>
      <c r="P83" s="3">
        <v>0</v>
      </c>
      <c r="Q83" s="3">
        <v>225.03</v>
      </c>
      <c r="R83" s="3">
        <v>29.253900000000002</v>
      </c>
      <c r="S83" s="3">
        <v>0</v>
      </c>
      <c r="T83" s="3">
        <v>0</v>
      </c>
      <c r="U83" s="3">
        <v>254.28</v>
      </c>
      <c r="V83" t="s">
        <v>1</v>
      </c>
      <c r="W83">
        <v>252.03</v>
      </c>
    </row>
    <row r="84" spans="1:23" x14ac:dyDescent="0.25">
      <c r="A84" s="67" t="str">
        <f>+Tabla2[[#This Row],[NOMBRE DE CLIENTE]]&amp;Tabla2[[#This Row],[ESPACIO]]&amp;Tabla2[[#This Row],[CCF]]&amp;Tabla2[[#This Row],[ESPACIO]]&amp;Tabla2[[#This Row],[N° DOC]]</f>
        <v>OPERADORA DEL SUR, S. A. DE C.V.99</v>
      </c>
      <c r="D84" s="67">
        <f>+VLOOKUP(Tabla2[[#This Row],[NOMBRE DE CLIENTE]],[3]CATALOGO!$A:$B,2,0)</f>
        <v>11030105</v>
      </c>
      <c r="E84" t="s">
        <v>701</v>
      </c>
      <c r="F84" t="s">
        <v>712</v>
      </c>
      <c r="G84" t="s">
        <v>1</v>
      </c>
      <c r="H84" t="s">
        <v>0</v>
      </c>
      <c r="I84" t="s">
        <v>499</v>
      </c>
      <c r="J84" t="s">
        <v>500</v>
      </c>
      <c r="K84">
        <v>99</v>
      </c>
      <c r="L84">
        <v>99</v>
      </c>
      <c r="M84" t="s">
        <v>240</v>
      </c>
      <c r="N84" t="s">
        <v>241</v>
      </c>
      <c r="O84" s="3">
        <v>0</v>
      </c>
      <c r="P84" s="3">
        <v>0</v>
      </c>
      <c r="Q84" s="3">
        <v>550</v>
      </c>
      <c r="R84" s="3">
        <v>71.5</v>
      </c>
      <c r="S84" s="3">
        <v>0</v>
      </c>
      <c r="T84" s="3">
        <v>0</v>
      </c>
      <c r="U84" s="3">
        <v>621.5</v>
      </c>
      <c r="V84" t="s">
        <v>1</v>
      </c>
      <c r="W84">
        <v>616</v>
      </c>
    </row>
    <row r="85" spans="1:23" x14ac:dyDescent="0.25">
      <c r="A85" s="67" t="str">
        <f>+Tabla2[[#This Row],[NOMBRE DE CLIENTE]]&amp;Tabla2[[#This Row],[ESPACIO]]&amp;Tabla2[[#This Row],[CCF]]&amp;Tabla2[[#This Row],[ESPACIO]]&amp;Tabla2[[#This Row],[N° DOC]]</f>
        <v>OPERADORA DEL SUR, S. A. DE C.V.98</v>
      </c>
      <c r="D85" s="67">
        <f>+VLOOKUP(Tabla2[[#This Row],[NOMBRE DE CLIENTE]],[3]CATALOGO!$A:$B,2,0)</f>
        <v>11030105</v>
      </c>
      <c r="E85" t="s">
        <v>701</v>
      </c>
      <c r="F85" t="s">
        <v>712</v>
      </c>
      <c r="G85" t="s">
        <v>1</v>
      </c>
      <c r="H85" t="s">
        <v>0</v>
      </c>
      <c r="I85" t="s">
        <v>499</v>
      </c>
      <c r="J85" t="s">
        <v>500</v>
      </c>
      <c r="K85">
        <v>98</v>
      </c>
      <c r="L85">
        <v>98</v>
      </c>
      <c r="M85" t="s">
        <v>240</v>
      </c>
      <c r="N85" t="s">
        <v>241</v>
      </c>
      <c r="O85" s="3">
        <v>0</v>
      </c>
      <c r="P85" s="3">
        <v>0</v>
      </c>
      <c r="Q85" s="3">
        <v>500</v>
      </c>
      <c r="R85" s="3">
        <v>65</v>
      </c>
      <c r="S85" s="3">
        <v>0</v>
      </c>
      <c r="T85" s="3">
        <v>0</v>
      </c>
      <c r="U85" s="3">
        <v>565</v>
      </c>
      <c r="V85" t="s">
        <v>1</v>
      </c>
      <c r="W85">
        <v>560</v>
      </c>
    </row>
    <row r="86" spans="1:23" x14ac:dyDescent="0.25">
      <c r="A86" s="67" t="str">
        <f>+Tabla2[[#This Row],[NOMBRE DE CLIENTE]]&amp;Tabla2[[#This Row],[ESPACIO]]&amp;Tabla2[[#This Row],[CCF]]&amp;Tabla2[[#This Row],[ESPACIO]]&amp;Tabla2[[#This Row],[N° DOC]]</f>
        <v>OPERADORA DEL SUR, S. A. DE C.V.97</v>
      </c>
      <c r="D86" s="67">
        <f>+VLOOKUP(Tabla2[[#This Row],[NOMBRE DE CLIENTE]],[3]CATALOGO!$A:$B,2,0)</f>
        <v>11030105</v>
      </c>
      <c r="E86" t="s">
        <v>701</v>
      </c>
      <c r="F86" t="s">
        <v>712</v>
      </c>
      <c r="G86" t="s">
        <v>1</v>
      </c>
      <c r="H86" t="s">
        <v>0</v>
      </c>
      <c r="I86" t="s">
        <v>499</v>
      </c>
      <c r="J86" t="s">
        <v>500</v>
      </c>
      <c r="K86">
        <v>97</v>
      </c>
      <c r="L86">
        <v>97</v>
      </c>
      <c r="M86" t="s">
        <v>240</v>
      </c>
      <c r="N86" t="s">
        <v>241</v>
      </c>
      <c r="O86" s="3">
        <v>0</v>
      </c>
      <c r="P86" s="3">
        <v>0</v>
      </c>
      <c r="Q86" s="3">
        <v>2147.04</v>
      </c>
      <c r="R86" s="3">
        <v>279.11520000000002</v>
      </c>
      <c r="S86" s="3">
        <v>0</v>
      </c>
      <c r="T86" s="3">
        <v>0</v>
      </c>
      <c r="U86" s="3">
        <v>2426.16</v>
      </c>
      <c r="V86" t="s">
        <v>1</v>
      </c>
      <c r="W86">
        <v>2404.6799999999998</v>
      </c>
    </row>
    <row r="87" spans="1:23" x14ac:dyDescent="0.25">
      <c r="A87" s="67" t="str">
        <f>+Tabla2[[#This Row],[NOMBRE DE CLIENTE]]&amp;Tabla2[[#This Row],[ESPACIO]]&amp;Tabla2[[#This Row],[CCF]]&amp;Tabla2[[#This Row],[ESPACIO]]&amp;Tabla2[[#This Row],[N° DOC]]</f>
        <v>UNILEVER EL SALVADOR SCC S.A DE C.V.96</v>
      </c>
      <c r="D87" s="67">
        <f>+VLOOKUP(Tabla2[[#This Row],[NOMBRE DE CLIENTE]],[3]CATALOGO!$A:$B,2,0)</f>
        <v>11030108</v>
      </c>
      <c r="E87" t="s">
        <v>701</v>
      </c>
      <c r="F87" t="s">
        <v>710</v>
      </c>
      <c r="G87" t="s">
        <v>1</v>
      </c>
      <c r="H87" t="s">
        <v>0</v>
      </c>
      <c r="I87" t="s">
        <v>499</v>
      </c>
      <c r="J87" t="s">
        <v>500</v>
      </c>
      <c r="K87">
        <v>96</v>
      </c>
      <c r="L87">
        <v>96</v>
      </c>
      <c r="M87" t="s">
        <v>262</v>
      </c>
      <c r="N87" t="s">
        <v>263</v>
      </c>
      <c r="O87" s="3">
        <v>0</v>
      </c>
      <c r="P87" s="3">
        <v>0</v>
      </c>
      <c r="Q87" s="3">
        <v>1175.42</v>
      </c>
      <c r="R87" s="3">
        <v>152.80460000000002</v>
      </c>
      <c r="S87" s="3">
        <v>0</v>
      </c>
      <c r="T87" s="3">
        <v>0</v>
      </c>
      <c r="U87" s="3">
        <v>1328.22</v>
      </c>
      <c r="V87" t="s">
        <v>1</v>
      </c>
      <c r="W87">
        <v>1316.47</v>
      </c>
    </row>
    <row r="88" spans="1:23" x14ac:dyDescent="0.25">
      <c r="A88" s="67" t="str">
        <f>+Tabla2[[#This Row],[NOMBRE DE CLIENTE]]&amp;Tabla2[[#This Row],[ESPACIO]]&amp;Tabla2[[#This Row],[CCF]]&amp;Tabla2[[#This Row],[ESPACIO]]&amp;Tabla2[[#This Row],[N° DOC]]</f>
        <v>LA CONSTANCIA LTDA DE C.V.95</v>
      </c>
      <c r="D88" s="67">
        <f>+VLOOKUP(Tabla2[[#This Row],[NOMBRE DE CLIENTE]],[3]CATALOGO!$A:$B,2,0)</f>
        <v>11030114</v>
      </c>
      <c r="E88" t="s">
        <v>701</v>
      </c>
      <c r="F88" t="s">
        <v>710</v>
      </c>
      <c r="G88" t="s">
        <v>1</v>
      </c>
      <c r="H88" t="s">
        <v>0</v>
      </c>
      <c r="I88" t="s">
        <v>499</v>
      </c>
      <c r="J88" t="s">
        <v>500</v>
      </c>
      <c r="K88">
        <v>95</v>
      </c>
      <c r="L88">
        <v>95</v>
      </c>
      <c r="M88" t="s">
        <v>250</v>
      </c>
      <c r="N88" t="s">
        <v>251</v>
      </c>
      <c r="O88" s="3">
        <v>0</v>
      </c>
      <c r="P88" s="3">
        <v>0</v>
      </c>
      <c r="Q88" s="3">
        <v>619.01</v>
      </c>
      <c r="R88" s="3">
        <v>80.471299999999999</v>
      </c>
      <c r="S88" s="3">
        <v>0</v>
      </c>
      <c r="T88" s="3">
        <v>0</v>
      </c>
      <c r="U88" s="3">
        <v>699.48</v>
      </c>
      <c r="V88" t="s">
        <v>1</v>
      </c>
      <c r="W88">
        <v>693.29</v>
      </c>
    </row>
    <row r="89" spans="1:23" x14ac:dyDescent="0.25">
      <c r="A89" s="67" t="str">
        <f>+Tabla2[[#This Row],[NOMBRE DE CLIENTE]]&amp;Tabla2[[#This Row],[ESPACIO]]&amp;Tabla2[[#This Row],[CCF]]&amp;Tabla2[[#This Row],[ESPACIO]]&amp;Tabla2[[#This Row],[N° DOC]]</f>
        <v>PINTURA Y ENDEREZADO S.A DE C.V.94</v>
      </c>
      <c r="D89" s="67">
        <f>+VLOOKUP(Tabla2[[#This Row],[NOMBRE DE CLIENTE]],[3]CATALOGO!$A:$B,2,0)</f>
        <v>11030112</v>
      </c>
      <c r="E89" t="s">
        <v>701</v>
      </c>
      <c r="F89" t="s">
        <v>710</v>
      </c>
      <c r="G89" t="s">
        <v>1</v>
      </c>
      <c r="H89" t="s">
        <v>0</v>
      </c>
      <c r="I89" t="s">
        <v>499</v>
      </c>
      <c r="J89" t="s">
        <v>500</v>
      </c>
      <c r="K89">
        <v>94</v>
      </c>
      <c r="L89">
        <v>94</v>
      </c>
      <c r="M89" t="s">
        <v>270</v>
      </c>
      <c r="N89" t="s">
        <v>271</v>
      </c>
      <c r="O89" s="3">
        <v>0</v>
      </c>
      <c r="P89" s="3">
        <v>0</v>
      </c>
      <c r="Q89" s="3">
        <v>148.04</v>
      </c>
      <c r="R89" s="3">
        <v>19.245200000000001</v>
      </c>
      <c r="S89" s="3">
        <v>0</v>
      </c>
      <c r="T89" s="3">
        <v>0</v>
      </c>
      <c r="U89" s="3">
        <v>167.29</v>
      </c>
      <c r="V89" t="s">
        <v>1</v>
      </c>
      <c r="W89">
        <v>165.8</v>
      </c>
    </row>
    <row r="90" spans="1:23" x14ac:dyDescent="0.25">
      <c r="A90" s="67" t="str">
        <f>+Tabla2[[#This Row],[NOMBRE DE CLIENTE]]&amp;Tabla2[[#This Row],[ESPACIO]]&amp;Tabla2[[#This Row],[CCF]]&amp;Tabla2[[#This Row],[ESPACIO]]&amp;Tabla2[[#This Row],[N° DOC]]</f>
        <v>TALLER DIDEA, S.A. DE C.V.93</v>
      </c>
      <c r="D90" s="67">
        <f>+VLOOKUP(Tabla2[[#This Row],[NOMBRE DE CLIENTE]],[3]CATALOGO!$A:$B,2,0)</f>
        <v>11030109</v>
      </c>
      <c r="E90" t="s">
        <v>701</v>
      </c>
      <c r="F90" t="s">
        <v>710</v>
      </c>
      <c r="G90" t="s">
        <v>1</v>
      </c>
      <c r="H90" t="s">
        <v>0</v>
      </c>
      <c r="I90" t="s">
        <v>499</v>
      </c>
      <c r="J90" t="s">
        <v>500</v>
      </c>
      <c r="K90">
        <v>93</v>
      </c>
      <c r="L90">
        <v>93</v>
      </c>
      <c r="M90" t="s">
        <v>272</v>
      </c>
      <c r="N90" t="s">
        <v>273</v>
      </c>
      <c r="O90" s="3">
        <v>0</v>
      </c>
      <c r="P90" s="3">
        <v>0</v>
      </c>
      <c r="Q90" s="3">
        <v>377.6</v>
      </c>
      <c r="R90" s="3">
        <v>49.088000000000008</v>
      </c>
      <c r="S90" s="3">
        <v>0</v>
      </c>
      <c r="T90" s="3">
        <v>0</v>
      </c>
      <c r="U90" s="3">
        <v>426.69</v>
      </c>
      <c r="V90" t="s">
        <v>1</v>
      </c>
      <c r="W90">
        <v>422.91</v>
      </c>
    </row>
    <row r="91" spans="1:23" x14ac:dyDescent="0.25">
      <c r="A91" s="67" t="str">
        <f>+Tabla2[[#This Row],[NOMBRE DE CLIENTE]]&amp;Tabla2[[#This Row],[ESPACIO]]&amp;Tabla2[[#This Row],[CCF]]&amp;Tabla2[[#This Row],[ESPACIO]]&amp;Tabla2[[#This Row],[N° DOC]]</f>
        <v>DIDEA S.A DE C.V.92</v>
      </c>
      <c r="D91" s="67">
        <f>+VLOOKUP(Tabla2[[#This Row],[NOMBRE DE CLIENTE]],[3]CATALOGO!$A:$B,2,0)</f>
        <v>11030117</v>
      </c>
      <c r="E91" t="s">
        <v>701</v>
      </c>
      <c r="F91" t="s">
        <v>710</v>
      </c>
      <c r="G91" t="s">
        <v>1</v>
      </c>
      <c r="H91" t="s">
        <v>0</v>
      </c>
      <c r="I91" t="s">
        <v>499</v>
      </c>
      <c r="J91" t="s">
        <v>500</v>
      </c>
      <c r="K91">
        <v>92</v>
      </c>
      <c r="L91">
        <v>92</v>
      </c>
      <c r="M91" t="s">
        <v>274</v>
      </c>
      <c r="N91" t="s">
        <v>275</v>
      </c>
      <c r="O91" s="3">
        <v>0</v>
      </c>
      <c r="P91" s="3">
        <v>0</v>
      </c>
      <c r="Q91" s="3">
        <v>141.1</v>
      </c>
      <c r="R91" s="3">
        <v>18.343</v>
      </c>
      <c r="S91" s="3">
        <v>0</v>
      </c>
      <c r="T91" s="3">
        <v>0</v>
      </c>
      <c r="U91" s="3">
        <v>159.44</v>
      </c>
      <c r="V91" t="s">
        <v>1</v>
      </c>
      <c r="W91">
        <v>158.03</v>
      </c>
    </row>
    <row r="92" spans="1:23" x14ac:dyDescent="0.25">
      <c r="A92" s="67" t="str">
        <f>+Tabla2[[#This Row],[NOMBRE DE CLIENTE]]&amp;Tabla2[[#This Row],[ESPACIO]]&amp;Tabla2[[#This Row],[CCF]]&amp;Tabla2[[#This Row],[ESPACIO]]&amp;Tabla2[[#This Row],[N° DOC]]</f>
        <v>ESTABLECIMIENTOS ANCALMO, S.A DE C.V91</v>
      </c>
      <c r="D92" s="67">
        <f>+VLOOKUP(Tabla2[[#This Row],[NOMBRE DE CLIENTE]],[3]CATALOGO!$A:$B,2,0)</f>
        <v>11030110</v>
      </c>
      <c r="E92" t="s">
        <v>701</v>
      </c>
      <c r="F92" t="s">
        <v>705</v>
      </c>
      <c r="G92" t="s">
        <v>1</v>
      </c>
      <c r="H92" t="s">
        <v>0</v>
      </c>
      <c r="I92" t="s">
        <v>499</v>
      </c>
      <c r="J92" t="s">
        <v>500</v>
      </c>
      <c r="K92">
        <v>91</v>
      </c>
      <c r="L92">
        <v>91</v>
      </c>
      <c r="M92" t="s">
        <v>282</v>
      </c>
      <c r="N92" t="s">
        <v>283</v>
      </c>
      <c r="O92" s="3">
        <v>0</v>
      </c>
      <c r="P92" s="3">
        <v>0</v>
      </c>
      <c r="Q92" s="3">
        <v>229.69</v>
      </c>
      <c r="R92" s="3">
        <v>29.8597</v>
      </c>
      <c r="S92" s="3">
        <v>0</v>
      </c>
      <c r="T92" s="3">
        <v>0</v>
      </c>
      <c r="U92" s="3">
        <v>259.55</v>
      </c>
      <c r="V92" t="s">
        <v>1</v>
      </c>
      <c r="W92">
        <v>257.25</v>
      </c>
    </row>
    <row r="93" spans="1:23" x14ac:dyDescent="0.25">
      <c r="A93" s="67" t="str">
        <f>+Tabla2[[#This Row],[NOMBRE DE CLIENTE]]&amp;Tabla2[[#This Row],[ESPACIO]]&amp;Tabla2[[#This Row],[CCF]]&amp;Tabla2[[#This Row],[ESPACIO]]&amp;Tabla2[[#This Row],[N° DOC]]</f>
        <v>ANULADO90</v>
      </c>
      <c r="D93" s="67" t="e">
        <f>+VLOOKUP(Tabla2[[#This Row],[NOMBRE DE CLIENTE]],[3]CATALOGO!$A:$B,2,0)</f>
        <v>#N/A</v>
      </c>
      <c r="E93" t="s">
        <v>701</v>
      </c>
      <c r="F93" t="s">
        <v>705</v>
      </c>
      <c r="G93" t="s">
        <v>1</v>
      </c>
      <c r="H93" t="s">
        <v>0</v>
      </c>
      <c r="I93" t="s">
        <v>499</v>
      </c>
      <c r="J93" t="s">
        <v>500</v>
      </c>
      <c r="K93">
        <v>90</v>
      </c>
      <c r="L93">
        <v>90</v>
      </c>
      <c r="M93" t="s">
        <v>186</v>
      </c>
      <c r="N93" t="s">
        <v>30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t="s">
        <v>1</v>
      </c>
      <c r="W93">
        <v>0</v>
      </c>
    </row>
    <row r="94" spans="1:23" x14ac:dyDescent="0.25">
      <c r="A94" s="67" t="str">
        <f>+Tabla2[[#This Row],[NOMBRE DE CLIENTE]]&amp;Tabla2[[#This Row],[ESPACIO]]&amp;Tabla2[[#This Row],[CCF]]&amp;Tabla2[[#This Row],[ESPACIO]]&amp;Tabla2[[#This Row],[N° DOC]]</f>
        <v>NEMTEX S.A DE C.V.89</v>
      </c>
      <c r="D94" s="67">
        <f>+VLOOKUP(Tabla2[[#This Row],[NOMBRE DE CLIENTE]],[3]CATALOGO!$A:$B,2,0)</f>
        <v>11030118</v>
      </c>
      <c r="E94" t="s">
        <v>701</v>
      </c>
      <c r="F94" t="s">
        <v>705</v>
      </c>
      <c r="G94" t="s">
        <v>1</v>
      </c>
      <c r="H94" t="s">
        <v>0</v>
      </c>
      <c r="I94" t="s">
        <v>499</v>
      </c>
      <c r="J94" t="s">
        <v>500</v>
      </c>
      <c r="K94">
        <v>89</v>
      </c>
      <c r="L94">
        <v>89</v>
      </c>
      <c r="M94" t="s">
        <v>258</v>
      </c>
      <c r="N94" t="s">
        <v>259</v>
      </c>
      <c r="O94" s="3">
        <v>0</v>
      </c>
      <c r="P94" s="3">
        <v>0</v>
      </c>
      <c r="Q94" s="3">
        <v>255.92</v>
      </c>
      <c r="R94" s="3">
        <v>33.269599999999997</v>
      </c>
      <c r="S94" s="3">
        <v>0</v>
      </c>
      <c r="T94" s="3">
        <v>0</v>
      </c>
      <c r="U94" s="3">
        <v>289.19</v>
      </c>
      <c r="V94" t="s">
        <v>1</v>
      </c>
      <c r="W94">
        <v>286.63</v>
      </c>
    </row>
    <row r="95" spans="1:23" x14ac:dyDescent="0.25">
      <c r="A95" s="67" t="str">
        <f>+Tabla2[[#This Row],[NOMBRE DE CLIENTE]]&amp;Tabla2[[#This Row],[ESPACIO]]&amp;Tabla2[[#This Row],[CCF]]&amp;Tabla2[[#This Row],[ESPACIO]]&amp;Tabla2[[#This Row],[N° DOC]]</f>
        <v>PROGURSA S.A DE C.V.88</v>
      </c>
      <c r="D95" s="67">
        <f>+VLOOKUP(Tabla2[[#This Row],[NOMBRE DE CLIENTE]],[3]CATALOGO!$A:$B,2,0)</f>
        <v>11030137</v>
      </c>
      <c r="E95" t="s">
        <v>701</v>
      </c>
      <c r="F95" t="s">
        <v>703</v>
      </c>
      <c r="G95" t="s">
        <v>1</v>
      </c>
      <c r="H95" t="s">
        <v>0</v>
      </c>
      <c r="I95" t="s">
        <v>499</v>
      </c>
      <c r="J95" t="s">
        <v>500</v>
      </c>
      <c r="K95">
        <v>88</v>
      </c>
      <c r="L95">
        <v>88</v>
      </c>
      <c r="M95" t="s">
        <v>266</v>
      </c>
      <c r="N95" t="s">
        <v>267</v>
      </c>
      <c r="O95" s="3">
        <v>0</v>
      </c>
      <c r="P95" s="3">
        <v>0</v>
      </c>
      <c r="Q95" s="3">
        <v>150</v>
      </c>
      <c r="R95" s="3">
        <v>19.5</v>
      </c>
      <c r="S95" s="3">
        <v>0</v>
      </c>
      <c r="T95" s="3">
        <v>0</v>
      </c>
      <c r="U95" s="3">
        <v>169.5</v>
      </c>
      <c r="V95" t="s">
        <v>1</v>
      </c>
      <c r="W95">
        <v>168</v>
      </c>
    </row>
    <row r="96" spans="1:23" x14ac:dyDescent="0.25">
      <c r="A96" s="67" t="str">
        <f>+Tabla2[[#This Row],[NOMBRE DE CLIENTE]]&amp;Tabla2[[#This Row],[ESPACIO]]&amp;Tabla2[[#This Row],[CCF]]&amp;Tabla2[[#This Row],[ESPACIO]]&amp;Tabla2[[#This Row],[N° DOC]]</f>
        <v>HOTELES S.A DE C.V.87</v>
      </c>
      <c r="D96" s="67">
        <f>+VLOOKUP(Tabla2[[#This Row],[NOMBRE DE CLIENTE]],[3]CATALOGO!$A:$B,2,0)</f>
        <v>11030111</v>
      </c>
      <c r="E96" t="s">
        <v>701</v>
      </c>
      <c r="F96" t="s">
        <v>703</v>
      </c>
      <c r="G96" t="s">
        <v>1</v>
      </c>
      <c r="H96" t="s">
        <v>0</v>
      </c>
      <c r="I96" t="s">
        <v>499</v>
      </c>
      <c r="J96" t="s">
        <v>500</v>
      </c>
      <c r="K96">
        <v>87</v>
      </c>
      <c r="L96">
        <v>87</v>
      </c>
      <c r="M96" t="s">
        <v>268</v>
      </c>
      <c r="N96" t="s">
        <v>269</v>
      </c>
      <c r="O96" s="3">
        <v>0</v>
      </c>
      <c r="P96" s="3">
        <v>0</v>
      </c>
      <c r="Q96" s="3">
        <v>750</v>
      </c>
      <c r="R96" s="3">
        <v>97.5</v>
      </c>
      <c r="S96" s="3">
        <v>0</v>
      </c>
      <c r="T96" s="3">
        <v>0</v>
      </c>
      <c r="U96" s="3">
        <v>847.5</v>
      </c>
      <c r="V96" t="s">
        <v>1</v>
      </c>
      <c r="W96">
        <v>840</v>
      </c>
    </row>
    <row r="97" spans="1:23" x14ac:dyDescent="0.25">
      <c r="A97" s="67" t="str">
        <f>+Tabla2[[#This Row],[NOMBRE DE CLIENTE]]&amp;Tabla2[[#This Row],[ESPACIO]]&amp;Tabla2[[#This Row],[CCF]]&amp;Tabla2[[#This Row],[ESPACIO]]&amp;Tabla2[[#This Row],[N° DOC]]</f>
        <v>GRUPO PAILL S.A DE C.V.86</v>
      </c>
      <c r="D97" s="67">
        <f>+VLOOKUP(Tabla2[[#This Row],[NOMBRE DE CLIENTE]],[3]CATALOGO!$A:$B,2,0)</f>
        <v>11030104</v>
      </c>
      <c r="E97" t="s">
        <v>701</v>
      </c>
      <c r="F97" t="s">
        <v>703</v>
      </c>
      <c r="G97" t="s">
        <v>1</v>
      </c>
      <c r="H97" t="s">
        <v>0</v>
      </c>
      <c r="I97" t="s">
        <v>499</v>
      </c>
      <c r="J97" t="s">
        <v>500</v>
      </c>
      <c r="K97">
        <v>86</v>
      </c>
      <c r="L97">
        <v>86</v>
      </c>
      <c r="M97" t="s">
        <v>276</v>
      </c>
      <c r="N97" t="s">
        <v>277</v>
      </c>
      <c r="O97" s="3">
        <v>0</v>
      </c>
      <c r="P97" s="3">
        <v>0</v>
      </c>
      <c r="Q97" s="3">
        <v>1292.76</v>
      </c>
      <c r="R97" s="3">
        <v>168.05879999999999</v>
      </c>
      <c r="S97" s="3">
        <v>0</v>
      </c>
      <c r="T97" s="3">
        <v>0</v>
      </c>
      <c r="U97" s="3">
        <v>1460.82</v>
      </c>
      <c r="V97" t="s">
        <v>1</v>
      </c>
      <c r="W97">
        <v>1447.89</v>
      </c>
    </row>
    <row r="98" spans="1:23" x14ac:dyDescent="0.25">
      <c r="A98" s="67" t="str">
        <f>+Tabla2[[#This Row],[NOMBRE DE CLIENTE]]&amp;Tabla2[[#This Row],[ESPACIO]]&amp;Tabla2[[#This Row],[CCF]]&amp;Tabla2[[#This Row],[ESPACIO]]&amp;Tabla2[[#This Row],[N° DOC]]</f>
        <v>BANCO AGRICOLA, S.A.84</v>
      </c>
      <c r="D98" s="67">
        <f>+VLOOKUP(Tabla2[[#This Row],[NOMBRE DE CLIENTE]],[3]CATALOGO!$A:$B,2,0)</f>
        <v>11030106</v>
      </c>
      <c r="E98" t="s">
        <v>701</v>
      </c>
      <c r="F98" t="s">
        <v>703</v>
      </c>
      <c r="G98" t="s">
        <v>1</v>
      </c>
      <c r="H98" t="s">
        <v>0</v>
      </c>
      <c r="I98" t="s">
        <v>499</v>
      </c>
      <c r="J98" t="s">
        <v>500</v>
      </c>
      <c r="K98">
        <v>84</v>
      </c>
      <c r="L98">
        <v>84</v>
      </c>
      <c r="M98" t="s">
        <v>244</v>
      </c>
      <c r="N98" t="s">
        <v>245</v>
      </c>
      <c r="O98" s="3">
        <v>0</v>
      </c>
      <c r="P98" s="3">
        <v>0</v>
      </c>
      <c r="Q98" s="3">
        <v>152.65</v>
      </c>
      <c r="R98" s="3">
        <v>19.8445</v>
      </c>
      <c r="S98" s="3">
        <v>0</v>
      </c>
      <c r="T98" s="3">
        <v>0</v>
      </c>
      <c r="U98" s="3">
        <v>172.49</v>
      </c>
      <c r="V98" t="s">
        <v>1</v>
      </c>
      <c r="W98">
        <v>170.97</v>
      </c>
    </row>
    <row r="99" spans="1:23" x14ac:dyDescent="0.25">
      <c r="A99" s="67" t="str">
        <f>+Tabla2[[#This Row],[NOMBRE DE CLIENTE]]&amp;Tabla2[[#This Row],[ESPACIO]]&amp;Tabla2[[#This Row],[CCF]]&amp;Tabla2[[#This Row],[ESPACIO]]&amp;Tabla2[[#This Row],[N° DOC]]</f>
        <v>BANCO AGRICOLA, S.A.83</v>
      </c>
      <c r="D99" s="67">
        <f>+VLOOKUP(Tabla2[[#This Row],[NOMBRE DE CLIENTE]],[3]CATALOGO!$A:$B,2,0)</f>
        <v>11030106</v>
      </c>
      <c r="E99" t="s">
        <v>701</v>
      </c>
      <c r="F99" t="s">
        <v>703</v>
      </c>
      <c r="G99" t="s">
        <v>1</v>
      </c>
      <c r="H99" t="s">
        <v>0</v>
      </c>
      <c r="I99" t="s">
        <v>499</v>
      </c>
      <c r="J99" t="s">
        <v>500</v>
      </c>
      <c r="K99">
        <v>83</v>
      </c>
      <c r="L99">
        <v>83</v>
      </c>
      <c r="M99" t="s">
        <v>244</v>
      </c>
      <c r="N99" t="s">
        <v>245</v>
      </c>
      <c r="O99" s="3">
        <v>0</v>
      </c>
      <c r="P99" s="3">
        <v>0</v>
      </c>
      <c r="Q99" s="3">
        <v>357.36</v>
      </c>
      <c r="R99" s="3">
        <v>46.456800000000001</v>
      </c>
      <c r="S99" s="3">
        <v>0</v>
      </c>
      <c r="T99" s="3">
        <v>0</v>
      </c>
      <c r="U99" s="3">
        <v>403.82</v>
      </c>
      <c r="V99" t="s">
        <v>1</v>
      </c>
      <c r="W99">
        <v>400.24</v>
      </c>
    </row>
    <row r="100" spans="1:23" x14ac:dyDescent="0.25">
      <c r="A100" s="67" t="str">
        <f>+Tabla2[[#This Row],[NOMBRE DE CLIENTE]]&amp;Tabla2[[#This Row],[ESPACIO]]&amp;Tabla2[[#This Row],[CCF]]&amp;Tabla2[[#This Row],[ESPACIO]]&amp;Tabla2[[#This Row],[N° DOC]]</f>
        <v>ANULADO82</v>
      </c>
      <c r="D100" s="67" t="e">
        <f>+VLOOKUP(Tabla2[[#This Row],[NOMBRE DE CLIENTE]],[3]CATALOGO!$A:$B,2,0)</f>
        <v>#N/A</v>
      </c>
      <c r="E100" t="s">
        <v>701</v>
      </c>
      <c r="F100" t="s">
        <v>703</v>
      </c>
      <c r="G100" t="s">
        <v>1</v>
      </c>
      <c r="H100" t="s">
        <v>0</v>
      </c>
      <c r="I100" t="s">
        <v>499</v>
      </c>
      <c r="J100" t="s">
        <v>500</v>
      </c>
      <c r="K100">
        <v>82</v>
      </c>
      <c r="L100">
        <v>82</v>
      </c>
      <c r="M100" t="s">
        <v>186</v>
      </c>
      <c r="N100" t="s">
        <v>30</v>
      </c>
      <c r="O100" s="3">
        <v>0</v>
      </c>
      <c r="P100" s="3">
        <v>0</v>
      </c>
      <c r="Q100" s="3">
        <v>0</v>
      </c>
      <c r="R100" s="3">
        <v>0</v>
      </c>
      <c r="S100" s="3">
        <v>0</v>
      </c>
      <c r="T100" s="3">
        <v>0</v>
      </c>
      <c r="U100" s="3">
        <v>0</v>
      </c>
      <c r="V100" t="s">
        <v>1</v>
      </c>
      <c r="W100">
        <v>0</v>
      </c>
    </row>
    <row r="101" spans="1:23" x14ac:dyDescent="0.25">
      <c r="A101" s="67" t="str">
        <f>+Tabla2[[#This Row],[NOMBRE DE CLIENTE]]&amp;Tabla2[[#This Row],[ESPACIO]]&amp;Tabla2[[#This Row],[CCF]]&amp;Tabla2[[#This Row],[ESPACIO]]&amp;Tabla2[[#This Row],[N° DOC]]</f>
        <v>ANULADO81</v>
      </c>
      <c r="D101" s="67" t="e">
        <f>+VLOOKUP(Tabla2[[#This Row],[NOMBRE DE CLIENTE]],[3]CATALOGO!$A:$B,2,0)</f>
        <v>#N/A</v>
      </c>
      <c r="E101" t="s">
        <v>701</v>
      </c>
      <c r="F101" t="s">
        <v>703</v>
      </c>
      <c r="G101" t="s">
        <v>1</v>
      </c>
      <c r="H101" t="s">
        <v>0</v>
      </c>
      <c r="I101" t="s">
        <v>499</v>
      </c>
      <c r="J101" t="s">
        <v>500</v>
      </c>
      <c r="K101">
        <v>81</v>
      </c>
      <c r="L101">
        <v>81</v>
      </c>
      <c r="M101" t="s">
        <v>186</v>
      </c>
      <c r="N101" t="s">
        <v>30</v>
      </c>
      <c r="O101" s="3">
        <v>0</v>
      </c>
      <c r="P101" s="3">
        <v>0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V101" t="s">
        <v>1</v>
      </c>
      <c r="W101">
        <v>0</v>
      </c>
    </row>
    <row r="102" spans="1:23" x14ac:dyDescent="0.25">
      <c r="A102" s="67" t="str">
        <f>+Tabla2[[#This Row],[NOMBRE DE CLIENTE]]&amp;Tabla2[[#This Row],[ESPACIO]]&amp;Tabla2[[#This Row],[CCF]]&amp;Tabla2[[#This Row],[ESPACIO]]&amp;Tabla2[[#This Row],[N° DOC]]</f>
        <v>SUPER REPUESTOS EL SALVADOR S.A DE C.V.80</v>
      </c>
      <c r="D102" s="67">
        <f>+VLOOKUP(Tabla2[[#This Row],[NOMBRE DE CLIENTE]],[3]CATALOGO!$A:$B,2,0)</f>
        <v>11030115</v>
      </c>
      <c r="E102" t="s">
        <v>701</v>
      </c>
      <c r="F102" t="s">
        <v>703</v>
      </c>
      <c r="G102" t="s">
        <v>1</v>
      </c>
      <c r="H102" t="s">
        <v>0</v>
      </c>
      <c r="I102" t="s">
        <v>499</v>
      </c>
      <c r="J102" t="s">
        <v>500</v>
      </c>
      <c r="K102">
        <v>80</v>
      </c>
      <c r="L102">
        <v>80</v>
      </c>
      <c r="M102" t="s">
        <v>264</v>
      </c>
      <c r="N102" t="s">
        <v>265</v>
      </c>
      <c r="O102" s="3">
        <v>0</v>
      </c>
      <c r="P102" s="3">
        <v>0</v>
      </c>
      <c r="Q102" s="3">
        <v>195</v>
      </c>
      <c r="R102" s="3">
        <v>25.35</v>
      </c>
      <c r="S102" s="3">
        <v>0</v>
      </c>
      <c r="T102" s="3">
        <v>0</v>
      </c>
      <c r="U102" s="3">
        <v>220.35</v>
      </c>
      <c r="V102" t="s">
        <v>1</v>
      </c>
      <c r="W102">
        <v>218.4</v>
      </c>
    </row>
    <row r="103" spans="1:23" x14ac:dyDescent="0.25">
      <c r="A103" s="67" t="str">
        <f>+Tabla2[[#This Row],[NOMBRE DE CLIENTE]]&amp;Tabla2[[#This Row],[ESPACIO]]&amp;Tabla2[[#This Row],[CCF]]&amp;Tabla2[[#This Row],[ESPACIO]]&amp;Tabla2[[#This Row],[N° DOC]]</f>
        <v>PRODUCTOS CARNICOS S.A DE C.V. CCF 79</v>
      </c>
      <c r="B103" s="67" t="s">
        <v>697</v>
      </c>
      <c r="C103" s="67" t="s">
        <v>414</v>
      </c>
      <c r="D103" s="67">
        <f>+VLOOKUP(Tabla2[[#This Row],[NOMBRE DE CLIENTE]],[3]CATALOGO!$A:$B,2,0)</f>
        <v>11030103</v>
      </c>
      <c r="E103" t="s">
        <v>567</v>
      </c>
      <c r="F103" t="s">
        <v>623</v>
      </c>
      <c r="G103" t="s">
        <v>1</v>
      </c>
      <c r="H103" t="s">
        <v>0</v>
      </c>
      <c r="I103" t="s">
        <v>499</v>
      </c>
      <c r="J103" t="s">
        <v>500</v>
      </c>
      <c r="K103">
        <v>79</v>
      </c>
      <c r="L103">
        <v>79</v>
      </c>
      <c r="M103" t="s">
        <v>242</v>
      </c>
      <c r="N103" t="s">
        <v>243</v>
      </c>
      <c r="O103" s="3">
        <v>0</v>
      </c>
      <c r="P103" s="3">
        <v>0</v>
      </c>
      <c r="Q103" s="3">
        <v>344.6</v>
      </c>
      <c r="R103" s="3">
        <v>44.798000000000002</v>
      </c>
      <c r="S103" s="3">
        <v>0</v>
      </c>
      <c r="T103" s="3">
        <v>0</v>
      </c>
      <c r="U103" s="3">
        <v>389.4</v>
      </c>
      <c r="V103" t="s">
        <v>1</v>
      </c>
      <c r="W103">
        <v>385.95</v>
      </c>
    </row>
    <row r="104" spans="1:23" x14ac:dyDescent="0.25">
      <c r="A104" s="67" t="str">
        <f>+Tabla2[[#This Row],[NOMBRE DE CLIENTE]]&amp;Tabla2[[#This Row],[ESPACIO]]&amp;Tabla2[[#This Row],[CCF]]&amp;Tabla2[[#This Row],[ESPACIO]]&amp;Tabla2[[#This Row],[N° DOC]]</f>
        <v>PRODUCTOS CARNICOS S.A DE C.V. CCF 78</v>
      </c>
      <c r="B104" s="67" t="s">
        <v>697</v>
      </c>
      <c r="C104" s="67" t="s">
        <v>414</v>
      </c>
      <c r="D104" s="67">
        <f>+VLOOKUP(Tabla2[[#This Row],[NOMBRE DE CLIENTE]],[3]CATALOGO!$A:$B,2,0)</f>
        <v>11030103</v>
      </c>
      <c r="E104" t="s">
        <v>567</v>
      </c>
      <c r="F104" t="s">
        <v>623</v>
      </c>
      <c r="G104" t="s">
        <v>1</v>
      </c>
      <c r="H104" t="s">
        <v>0</v>
      </c>
      <c r="I104" t="s">
        <v>499</v>
      </c>
      <c r="J104" t="s">
        <v>500</v>
      </c>
      <c r="K104">
        <v>78</v>
      </c>
      <c r="L104">
        <v>78</v>
      </c>
      <c r="M104" t="s">
        <v>242</v>
      </c>
      <c r="N104" t="s">
        <v>243</v>
      </c>
      <c r="O104" s="3">
        <v>0</v>
      </c>
      <c r="P104" s="3">
        <v>0</v>
      </c>
      <c r="Q104" s="3">
        <v>2633.8</v>
      </c>
      <c r="R104" s="3">
        <v>342.39400000000006</v>
      </c>
      <c r="S104" s="3">
        <v>0</v>
      </c>
      <c r="T104" s="3">
        <v>0</v>
      </c>
      <c r="U104" s="3">
        <v>2976.19</v>
      </c>
      <c r="V104" t="s">
        <v>1</v>
      </c>
      <c r="W104">
        <v>2949.86</v>
      </c>
    </row>
    <row r="105" spans="1:23" x14ac:dyDescent="0.25">
      <c r="A105" s="67" t="str">
        <f>+Tabla2[[#This Row],[NOMBRE DE CLIENTE]]&amp;Tabla2[[#This Row],[ESPACIO]]&amp;Tabla2[[#This Row],[CCF]]&amp;Tabla2[[#This Row],[ESPACIO]]&amp;Tabla2[[#This Row],[N° DOC]]</f>
        <v>OPERADORA DEL SUR, S. A. DE C.V. CCF 77</v>
      </c>
      <c r="B105" s="67" t="s">
        <v>697</v>
      </c>
      <c r="C105" s="67" t="s">
        <v>414</v>
      </c>
      <c r="D105" s="67">
        <f>+VLOOKUP(Tabla2[[#This Row],[NOMBRE DE CLIENTE]],[3]CATALOGO!$A:$B,2,0)</f>
        <v>11030105</v>
      </c>
      <c r="E105" t="s">
        <v>567</v>
      </c>
      <c r="F105" t="s">
        <v>624</v>
      </c>
      <c r="G105" t="s">
        <v>1</v>
      </c>
      <c r="H105" t="s">
        <v>0</v>
      </c>
      <c r="I105" t="s">
        <v>499</v>
      </c>
      <c r="J105" t="s">
        <v>500</v>
      </c>
      <c r="K105">
        <v>77</v>
      </c>
      <c r="L105">
        <v>77</v>
      </c>
      <c r="M105" t="s">
        <v>240</v>
      </c>
      <c r="N105" t="s">
        <v>241</v>
      </c>
      <c r="O105" s="3">
        <v>0</v>
      </c>
      <c r="P105" s="3">
        <v>0</v>
      </c>
      <c r="Q105" s="3">
        <v>1716.37</v>
      </c>
      <c r="R105" s="3">
        <v>223.12809999999999</v>
      </c>
      <c r="S105" s="3">
        <v>0</v>
      </c>
      <c r="T105" s="3">
        <v>0</v>
      </c>
      <c r="U105" s="3">
        <v>1939.5</v>
      </c>
      <c r="V105" t="s">
        <v>1</v>
      </c>
      <c r="W105">
        <v>1922.33</v>
      </c>
    </row>
    <row r="106" spans="1:23" x14ac:dyDescent="0.25">
      <c r="A106" s="67" t="str">
        <f>+Tabla2[[#This Row],[NOMBRE DE CLIENTE]]&amp;Tabla2[[#This Row],[ESPACIO]]&amp;Tabla2[[#This Row],[CCF]]&amp;Tabla2[[#This Row],[ESPACIO]]&amp;Tabla2[[#This Row],[N° DOC]]</f>
        <v>OPERADORA DEL SUR, S. A. DE C.V. CCF 76</v>
      </c>
      <c r="B106" s="67" t="s">
        <v>697</v>
      </c>
      <c r="C106" s="67" t="s">
        <v>414</v>
      </c>
      <c r="D106" s="67">
        <f>+VLOOKUP(Tabla2[[#This Row],[NOMBRE DE CLIENTE]],[3]CATALOGO!$A:$B,2,0)</f>
        <v>11030105</v>
      </c>
      <c r="E106" t="s">
        <v>567</v>
      </c>
      <c r="F106" t="s">
        <v>624</v>
      </c>
      <c r="G106" t="s">
        <v>1</v>
      </c>
      <c r="H106" t="s">
        <v>0</v>
      </c>
      <c r="I106" t="s">
        <v>499</v>
      </c>
      <c r="J106" t="s">
        <v>500</v>
      </c>
      <c r="K106">
        <v>76</v>
      </c>
      <c r="L106">
        <v>76</v>
      </c>
      <c r="M106" t="s">
        <v>240</v>
      </c>
      <c r="N106" t="s">
        <v>241</v>
      </c>
      <c r="O106" s="3">
        <v>0</v>
      </c>
      <c r="P106" s="3">
        <v>0</v>
      </c>
      <c r="Q106" s="3">
        <v>7247.8</v>
      </c>
      <c r="R106" s="3">
        <v>942.21400000000006</v>
      </c>
      <c r="S106" s="3">
        <v>0</v>
      </c>
      <c r="T106" s="3">
        <v>0</v>
      </c>
      <c r="U106" s="3">
        <v>8190.01</v>
      </c>
      <c r="V106" t="s">
        <v>1</v>
      </c>
      <c r="W106">
        <v>8117.54</v>
      </c>
    </row>
    <row r="107" spans="1:23" x14ac:dyDescent="0.25">
      <c r="A107" s="67" t="str">
        <f>+Tabla2[[#This Row],[NOMBRE DE CLIENTE]]&amp;Tabla2[[#This Row],[ESPACIO]]&amp;Tabla2[[#This Row],[CCF]]&amp;Tabla2[[#This Row],[ESPACIO]]&amp;Tabla2[[#This Row],[N° DOC]]</f>
        <v>OPERADORA DEL SUR, S. A. DE C.V. CCF 75</v>
      </c>
      <c r="B107" s="67" t="s">
        <v>697</v>
      </c>
      <c r="C107" s="67" t="s">
        <v>414</v>
      </c>
      <c r="D107" s="67">
        <f>+VLOOKUP(Tabla2[[#This Row],[NOMBRE DE CLIENTE]],[3]CATALOGO!$A:$B,2,0)</f>
        <v>11030105</v>
      </c>
      <c r="E107" t="s">
        <v>567</v>
      </c>
      <c r="F107" t="s">
        <v>624</v>
      </c>
      <c r="G107" t="s">
        <v>1</v>
      </c>
      <c r="H107" t="s">
        <v>0</v>
      </c>
      <c r="I107" t="s">
        <v>499</v>
      </c>
      <c r="J107" t="s">
        <v>500</v>
      </c>
      <c r="K107">
        <v>75</v>
      </c>
      <c r="L107">
        <v>75</v>
      </c>
      <c r="M107" t="s">
        <v>240</v>
      </c>
      <c r="N107" t="s">
        <v>241</v>
      </c>
      <c r="O107" s="3">
        <v>0</v>
      </c>
      <c r="P107" s="3">
        <v>0</v>
      </c>
      <c r="Q107" s="3">
        <v>225.03</v>
      </c>
      <c r="R107" s="3">
        <v>29.253900000000002</v>
      </c>
      <c r="S107" s="3">
        <v>0</v>
      </c>
      <c r="T107" s="3">
        <v>0</v>
      </c>
      <c r="U107" s="3">
        <v>254.28</v>
      </c>
      <c r="V107" t="s">
        <v>1</v>
      </c>
      <c r="W107">
        <v>252.03</v>
      </c>
    </row>
    <row r="108" spans="1:23" x14ac:dyDescent="0.25">
      <c r="A108" s="67" t="str">
        <f>+Tabla2[[#This Row],[NOMBRE DE CLIENTE]]&amp;Tabla2[[#This Row],[ESPACIO]]&amp;Tabla2[[#This Row],[CCF]]&amp;Tabla2[[#This Row],[ESPACIO]]&amp;Tabla2[[#This Row],[N° DOC]]</f>
        <v>OPERADORA DEL SUR, S. A. DE C.V. CCF 74</v>
      </c>
      <c r="B108" s="67" t="s">
        <v>697</v>
      </c>
      <c r="C108" s="67" t="s">
        <v>414</v>
      </c>
      <c r="D108" s="67">
        <f>+VLOOKUP(Tabla2[[#This Row],[NOMBRE DE CLIENTE]],[3]CATALOGO!$A:$B,2,0)</f>
        <v>11030105</v>
      </c>
      <c r="E108" t="s">
        <v>567</v>
      </c>
      <c r="F108" t="s">
        <v>624</v>
      </c>
      <c r="G108" t="s">
        <v>1</v>
      </c>
      <c r="H108" t="s">
        <v>0</v>
      </c>
      <c r="I108" t="s">
        <v>499</v>
      </c>
      <c r="J108" t="s">
        <v>500</v>
      </c>
      <c r="K108">
        <v>74</v>
      </c>
      <c r="L108">
        <v>74</v>
      </c>
      <c r="M108" t="s">
        <v>240</v>
      </c>
      <c r="N108" t="s">
        <v>241</v>
      </c>
      <c r="O108" s="3">
        <v>0</v>
      </c>
      <c r="P108" s="3">
        <v>0</v>
      </c>
      <c r="Q108" s="3">
        <v>500</v>
      </c>
      <c r="R108" s="3">
        <v>65</v>
      </c>
      <c r="S108" s="3">
        <v>0</v>
      </c>
      <c r="T108" s="3">
        <v>0</v>
      </c>
      <c r="U108" s="3">
        <v>565</v>
      </c>
      <c r="V108" t="s">
        <v>1</v>
      </c>
      <c r="W108">
        <v>560</v>
      </c>
    </row>
    <row r="109" spans="1:23" x14ac:dyDescent="0.25">
      <c r="A109" s="67" t="str">
        <f>+Tabla2[[#This Row],[NOMBRE DE CLIENTE]]&amp;Tabla2[[#This Row],[ESPACIO]]&amp;Tabla2[[#This Row],[CCF]]&amp;Tabla2[[#This Row],[ESPACIO]]&amp;Tabla2[[#This Row],[N° DOC]]</f>
        <v>OPERADORA DEL SUR, S. A. DE C.V. CCF 73</v>
      </c>
      <c r="B109" s="67" t="s">
        <v>697</v>
      </c>
      <c r="C109" s="67" t="s">
        <v>414</v>
      </c>
      <c r="D109" s="67">
        <f>+VLOOKUP(Tabla2[[#This Row],[NOMBRE DE CLIENTE]],[3]CATALOGO!$A:$B,2,0)</f>
        <v>11030105</v>
      </c>
      <c r="E109" t="s">
        <v>567</v>
      </c>
      <c r="F109" t="s">
        <v>624</v>
      </c>
      <c r="G109" t="s">
        <v>1</v>
      </c>
      <c r="H109" t="s">
        <v>0</v>
      </c>
      <c r="I109" t="s">
        <v>499</v>
      </c>
      <c r="J109" t="s">
        <v>500</v>
      </c>
      <c r="K109">
        <v>73</v>
      </c>
      <c r="L109">
        <v>73</v>
      </c>
      <c r="M109" t="s">
        <v>240</v>
      </c>
      <c r="N109" t="s">
        <v>241</v>
      </c>
      <c r="O109" s="3">
        <v>0</v>
      </c>
      <c r="P109" s="3">
        <v>0</v>
      </c>
      <c r="Q109" s="3">
        <v>2147.04</v>
      </c>
      <c r="R109" s="3">
        <v>279.11520000000002</v>
      </c>
      <c r="S109" s="3">
        <v>0</v>
      </c>
      <c r="T109" s="3">
        <v>0</v>
      </c>
      <c r="U109" s="3">
        <v>2426.16</v>
      </c>
      <c r="V109" t="s">
        <v>1</v>
      </c>
      <c r="W109">
        <v>2404.6799999999998</v>
      </c>
    </row>
    <row r="110" spans="1:23" x14ac:dyDescent="0.25">
      <c r="A110" s="67" t="str">
        <f>+Tabla2[[#This Row],[NOMBRE DE CLIENTE]]&amp;Tabla2[[#This Row],[ESPACIO]]&amp;Tabla2[[#This Row],[CCF]]&amp;Tabla2[[#This Row],[ESPACIO]]&amp;Tabla2[[#This Row],[N° DOC]]</f>
        <v>OPERADORA DEL SUR, S. A. DE C.V. CCF 72</v>
      </c>
      <c r="B110" s="67" t="s">
        <v>697</v>
      </c>
      <c r="C110" s="67" t="s">
        <v>414</v>
      </c>
      <c r="D110" s="67">
        <f>+VLOOKUP(Tabla2[[#This Row],[NOMBRE DE CLIENTE]],[3]CATALOGO!$A:$B,2,0)</f>
        <v>11030105</v>
      </c>
      <c r="E110" t="s">
        <v>567</v>
      </c>
      <c r="F110" t="s">
        <v>624</v>
      </c>
      <c r="G110" t="s">
        <v>1</v>
      </c>
      <c r="H110" t="s">
        <v>0</v>
      </c>
      <c r="I110" t="s">
        <v>499</v>
      </c>
      <c r="J110" t="s">
        <v>500</v>
      </c>
      <c r="K110">
        <v>72</v>
      </c>
      <c r="L110">
        <v>72</v>
      </c>
      <c r="M110" t="s">
        <v>240</v>
      </c>
      <c r="N110" t="s">
        <v>241</v>
      </c>
      <c r="O110" s="3">
        <v>0</v>
      </c>
      <c r="P110" s="3">
        <v>0</v>
      </c>
      <c r="Q110" s="3">
        <v>550</v>
      </c>
      <c r="R110" s="3">
        <v>71.5</v>
      </c>
      <c r="S110" s="3">
        <v>0</v>
      </c>
      <c r="T110" s="3">
        <v>0</v>
      </c>
      <c r="U110" s="3">
        <v>621.5</v>
      </c>
      <c r="V110" t="s">
        <v>1</v>
      </c>
      <c r="W110">
        <v>616</v>
      </c>
    </row>
    <row r="111" spans="1:23" x14ac:dyDescent="0.25">
      <c r="A111" s="67" t="str">
        <f>+Tabla2[[#This Row],[NOMBRE DE CLIENTE]]&amp;Tabla2[[#This Row],[ESPACIO]]&amp;Tabla2[[#This Row],[CCF]]&amp;Tabla2[[#This Row],[ESPACIO]]&amp;Tabla2[[#This Row],[N° DOC]]</f>
        <v>ANULADO CCF 71</v>
      </c>
      <c r="B111" s="67" t="s">
        <v>697</v>
      </c>
      <c r="C111" s="67" t="s">
        <v>414</v>
      </c>
      <c r="D111" s="67" t="e">
        <f>+VLOOKUP(Tabla2[[#This Row],[NOMBRE DE CLIENTE]],[3]CATALOGO!$A:$B,2,0)</f>
        <v>#N/A</v>
      </c>
      <c r="E111" t="s">
        <v>567</v>
      </c>
      <c r="F111" t="s">
        <v>624</v>
      </c>
      <c r="G111" t="s">
        <v>1</v>
      </c>
      <c r="H111" t="s">
        <v>0</v>
      </c>
      <c r="I111" t="s">
        <v>499</v>
      </c>
      <c r="J111" t="s">
        <v>500</v>
      </c>
      <c r="K111">
        <v>71</v>
      </c>
      <c r="L111">
        <v>71</v>
      </c>
      <c r="M111" t="s">
        <v>186</v>
      </c>
      <c r="N111" t="s">
        <v>30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t="s">
        <v>1</v>
      </c>
      <c r="W111">
        <v>0</v>
      </c>
    </row>
    <row r="112" spans="1:23" x14ac:dyDescent="0.25">
      <c r="A112" s="67" t="str">
        <f>+Tabla2[[#This Row],[NOMBRE DE CLIENTE]]&amp;Tabla2[[#This Row],[ESPACIO]]&amp;Tabla2[[#This Row],[CCF]]&amp;Tabla2[[#This Row],[ESPACIO]]&amp;Tabla2[[#This Row],[N° DOC]]</f>
        <v>OPERADORA DEL SUR, S. A. DE C.V. CCF 70</v>
      </c>
      <c r="B112" s="67" t="s">
        <v>697</v>
      </c>
      <c r="C112" s="67" t="s">
        <v>414</v>
      </c>
      <c r="D112" s="67">
        <f>+VLOOKUP(Tabla2[[#This Row],[NOMBRE DE CLIENTE]],[3]CATALOGO!$A:$B,2,0)</f>
        <v>11030105</v>
      </c>
      <c r="E112" t="s">
        <v>567</v>
      </c>
      <c r="F112" t="s">
        <v>625</v>
      </c>
      <c r="G112" t="s">
        <v>1</v>
      </c>
      <c r="H112" t="s">
        <v>0</v>
      </c>
      <c r="I112" t="s">
        <v>499</v>
      </c>
      <c r="J112" t="s">
        <v>500</v>
      </c>
      <c r="K112">
        <v>70</v>
      </c>
      <c r="L112">
        <v>70</v>
      </c>
      <c r="M112" t="s">
        <v>240</v>
      </c>
      <c r="N112" t="s">
        <v>241</v>
      </c>
      <c r="O112" s="3">
        <v>0</v>
      </c>
      <c r="P112" s="3">
        <v>0</v>
      </c>
      <c r="Q112" s="3">
        <v>495.66</v>
      </c>
      <c r="R112" s="3">
        <v>64.4358</v>
      </c>
      <c r="S112" s="3">
        <v>0</v>
      </c>
      <c r="T112" s="3">
        <v>0</v>
      </c>
      <c r="U112" s="3">
        <v>560.1</v>
      </c>
      <c r="V112" t="s">
        <v>1</v>
      </c>
      <c r="W112">
        <v>555.14</v>
      </c>
    </row>
    <row r="113" spans="1:23" x14ac:dyDescent="0.25">
      <c r="A113" s="67" t="str">
        <f>+Tabla2[[#This Row],[NOMBRE DE CLIENTE]]&amp;Tabla2[[#This Row],[ESPACIO]]&amp;Tabla2[[#This Row],[CCF]]&amp;Tabla2[[#This Row],[ESPACIO]]&amp;Tabla2[[#This Row],[N° DOC]]</f>
        <v>OPERADORA DEL SUR, S. A. DE C.V. CCF 69</v>
      </c>
      <c r="B113" s="67" t="s">
        <v>697</v>
      </c>
      <c r="C113" s="67" t="s">
        <v>414</v>
      </c>
      <c r="D113" s="67">
        <f>+VLOOKUP(Tabla2[[#This Row],[NOMBRE DE CLIENTE]],[3]CATALOGO!$A:$B,2,0)</f>
        <v>11030105</v>
      </c>
      <c r="E113" t="s">
        <v>567</v>
      </c>
      <c r="F113" t="s">
        <v>625</v>
      </c>
      <c r="G113" t="s">
        <v>1</v>
      </c>
      <c r="H113" t="s">
        <v>0</v>
      </c>
      <c r="I113" t="s">
        <v>499</v>
      </c>
      <c r="J113" t="s">
        <v>500</v>
      </c>
      <c r="K113">
        <v>69</v>
      </c>
      <c r="L113">
        <v>69</v>
      </c>
      <c r="M113" t="s">
        <v>240</v>
      </c>
      <c r="N113" t="s">
        <v>241</v>
      </c>
      <c r="O113" s="3">
        <v>0</v>
      </c>
      <c r="P113" s="3">
        <v>0</v>
      </c>
      <c r="Q113" s="3">
        <v>963.96</v>
      </c>
      <c r="R113" s="3">
        <v>125.31480000000001</v>
      </c>
      <c r="S113" s="3">
        <v>0</v>
      </c>
      <c r="T113" s="3">
        <v>0</v>
      </c>
      <c r="U113" s="3">
        <v>1089.27</v>
      </c>
      <c r="V113" t="s">
        <v>1</v>
      </c>
      <c r="W113">
        <v>1079.6400000000001</v>
      </c>
    </row>
    <row r="114" spans="1:23" x14ac:dyDescent="0.25">
      <c r="A114" s="67" t="str">
        <f>+Tabla2[[#This Row],[NOMBRE DE CLIENTE]]&amp;Tabla2[[#This Row],[ESPACIO]]&amp;Tabla2[[#This Row],[CCF]]&amp;Tabla2[[#This Row],[ESPACIO]]&amp;Tabla2[[#This Row],[N° DOC]]</f>
        <v>ANULADO CCF 68</v>
      </c>
      <c r="B114" s="67" t="s">
        <v>697</v>
      </c>
      <c r="C114" s="67" t="s">
        <v>414</v>
      </c>
      <c r="D114" s="67" t="e">
        <f>+VLOOKUP(Tabla2[[#This Row],[NOMBRE DE CLIENTE]],[3]CATALOGO!$A:$B,2,0)</f>
        <v>#N/A</v>
      </c>
      <c r="E114" t="s">
        <v>567</v>
      </c>
      <c r="F114" t="s">
        <v>625</v>
      </c>
      <c r="G114" t="s">
        <v>1</v>
      </c>
      <c r="H114" t="s">
        <v>0</v>
      </c>
      <c r="I114" t="s">
        <v>499</v>
      </c>
      <c r="J114" t="s">
        <v>500</v>
      </c>
      <c r="K114">
        <v>68</v>
      </c>
      <c r="L114">
        <v>68</v>
      </c>
      <c r="M114" t="s">
        <v>186</v>
      </c>
      <c r="N114" t="s">
        <v>30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t="s">
        <v>1</v>
      </c>
      <c r="W114">
        <v>0</v>
      </c>
    </row>
    <row r="115" spans="1:23" x14ac:dyDescent="0.25">
      <c r="A115" s="67" t="str">
        <f>+Tabla2[[#This Row],[NOMBRE DE CLIENTE]]&amp;Tabla2[[#This Row],[ESPACIO]]&amp;Tabla2[[#This Row],[CCF]]&amp;Tabla2[[#This Row],[ESPACIO]]&amp;Tabla2[[#This Row],[N° DOC]]</f>
        <v>ESTABLECIMIENTOS ANCALMO, S.A DE C.V CCF 67</v>
      </c>
      <c r="B115" s="67" t="s">
        <v>697</v>
      </c>
      <c r="C115" s="67" t="s">
        <v>414</v>
      </c>
      <c r="D115" s="67">
        <f>+VLOOKUP(Tabla2[[#This Row],[NOMBRE DE CLIENTE]],[3]CATALOGO!$A:$B,2,0)</f>
        <v>11030110</v>
      </c>
      <c r="E115" t="s">
        <v>567</v>
      </c>
      <c r="F115" t="s">
        <v>626</v>
      </c>
      <c r="G115" t="s">
        <v>1</v>
      </c>
      <c r="H115" t="s">
        <v>0</v>
      </c>
      <c r="I115" t="s">
        <v>499</v>
      </c>
      <c r="J115" t="s">
        <v>500</v>
      </c>
      <c r="K115">
        <v>67</v>
      </c>
      <c r="L115">
        <v>67</v>
      </c>
      <c r="M115" t="s">
        <v>282</v>
      </c>
      <c r="N115" t="s">
        <v>283</v>
      </c>
      <c r="O115" s="3">
        <v>0</v>
      </c>
      <c r="P115" s="3">
        <v>0</v>
      </c>
      <c r="Q115" s="3">
        <v>143.63999999999999</v>
      </c>
      <c r="R115" s="3">
        <v>18.673199999999998</v>
      </c>
      <c r="S115" s="3">
        <v>0</v>
      </c>
      <c r="T115" s="3">
        <v>0</v>
      </c>
      <c r="U115" s="3">
        <v>162.31</v>
      </c>
      <c r="V115" t="s">
        <v>1</v>
      </c>
      <c r="W115">
        <v>160.88</v>
      </c>
    </row>
    <row r="116" spans="1:23" x14ac:dyDescent="0.25">
      <c r="A116" s="67" t="str">
        <f>+Tabla2[[#This Row],[NOMBRE DE CLIENTE]]&amp;Tabla2[[#This Row],[ESPACIO]]&amp;Tabla2[[#This Row],[CCF]]&amp;Tabla2[[#This Row],[ESPACIO]]&amp;Tabla2[[#This Row],[N° DOC]]</f>
        <v>INDUSTRIAS MIKE MIKE S.A DE C.V. CCF 66</v>
      </c>
      <c r="B116" s="67" t="s">
        <v>697</v>
      </c>
      <c r="C116" s="67" t="s">
        <v>414</v>
      </c>
      <c r="D116" s="67">
        <f>+VLOOKUP(Tabla2[[#This Row],[NOMBRE DE CLIENTE]],[3]CATALOGO!$A:$B,2,0)</f>
        <v>11030116</v>
      </c>
      <c r="E116" t="s">
        <v>567</v>
      </c>
      <c r="F116" t="s">
        <v>626</v>
      </c>
      <c r="G116" t="s">
        <v>1</v>
      </c>
      <c r="H116" t="s">
        <v>0</v>
      </c>
      <c r="I116" t="s">
        <v>499</v>
      </c>
      <c r="J116" t="s">
        <v>500</v>
      </c>
      <c r="K116">
        <v>66</v>
      </c>
      <c r="L116">
        <v>66</v>
      </c>
      <c r="M116" t="s">
        <v>248</v>
      </c>
      <c r="N116" t="s">
        <v>249</v>
      </c>
      <c r="O116" s="3">
        <v>0</v>
      </c>
      <c r="P116" s="3">
        <v>0</v>
      </c>
      <c r="Q116" s="3">
        <v>165.92</v>
      </c>
      <c r="R116" s="3">
        <v>21.569599999999998</v>
      </c>
      <c r="S116" s="3">
        <v>0</v>
      </c>
      <c r="T116" s="3">
        <v>0</v>
      </c>
      <c r="U116" s="3">
        <v>187.49</v>
      </c>
      <c r="V116" t="s">
        <v>1</v>
      </c>
      <c r="W116">
        <v>185.83</v>
      </c>
    </row>
    <row r="117" spans="1:23" x14ac:dyDescent="0.25">
      <c r="A117" s="67" t="str">
        <f>+Tabla2[[#This Row],[NOMBRE DE CLIENTE]]&amp;Tabla2[[#This Row],[ESPACIO]]&amp;Tabla2[[#This Row],[CCF]]&amp;Tabla2[[#This Row],[ESPACIO]]&amp;Tabla2[[#This Row],[N° DOC]]</f>
        <v>INVERSIONES STANLEY PACIFICO S.A DE C.V. CCF 65</v>
      </c>
      <c r="B117" s="67" t="s">
        <v>697</v>
      </c>
      <c r="C117" s="67" t="s">
        <v>414</v>
      </c>
      <c r="D117" s="67">
        <f>+VLOOKUP(Tabla2[[#This Row],[NOMBRE DE CLIENTE]],[3]CATALOGO!$A:$B,2,0)</f>
        <v>11030113</v>
      </c>
      <c r="E117" t="s">
        <v>567</v>
      </c>
      <c r="F117" t="s">
        <v>626</v>
      </c>
      <c r="G117" t="s">
        <v>1</v>
      </c>
      <c r="H117" t="s">
        <v>0</v>
      </c>
      <c r="I117" t="s">
        <v>499</v>
      </c>
      <c r="J117" t="s">
        <v>500</v>
      </c>
      <c r="K117">
        <v>65</v>
      </c>
      <c r="L117">
        <v>65</v>
      </c>
      <c r="M117" t="s">
        <v>252</v>
      </c>
      <c r="N117" t="s">
        <v>253</v>
      </c>
      <c r="O117" s="3">
        <v>0</v>
      </c>
      <c r="P117" s="3">
        <v>0</v>
      </c>
      <c r="Q117" s="3">
        <v>386.64</v>
      </c>
      <c r="R117" s="3">
        <v>50.263199999999998</v>
      </c>
      <c r="S117" s="3">
        <v>0</v>
      </c>
      <c r="T117" s="3">
        <v>0</v>
      </c>
      <c r="U117" s="3">
        <v>436.9</v>
      </c>
      <c r="V117" t="s">
        <v>1</v>
      </c>
      <c r="W117">
        <v>433.04</v>
      </c>
    </row>
    <row r="118" spans="1:23" x14ac:dyDescent="0.25">
      <c r="A118" s="67" t="str">
        <f>+Tabla2[[#This Row],[NOMBRE DE CLIENTE]]&amp;Tabla2[[#This Row],[ESPACIO]]&amp;Tabla2[[#This Row],[CCF]]&amp;Tabla2[[#This Row],[ESPACIO]]&amp;Tabla2[[#This Row],[N° DOC]]</f>
        <v>NEMTEX S.A DE C.V. CCF 64</v>
      </c>
      <c r="B118" s="67" t="s">
        <v>697</v>
      </c>
      <c r="C118" s="67" t="s">
        <v>414</v>
      </c>
      <c r="D118" s="67">
        <f>+VLOOKUP(Tabla2[[#This Row],[NOMBRE DE CLIENTE]],[3]CATALOGO!$A:$B,2,0)</f>
        <v>11030118</v>
      </c>
      <c r="E118" t="s">
        <v>567</v>
      </c>
      <c r="F118" t="s">
        <v>626</v>
      </c>
      <c r="G118" t="s">
        <v>1</v>
      </c>
      <c r="H118" t="s">
        <v>0</v>
      </c>
      <c r="I118" t="s">
        <v>499</v>
      </c>
      <c r="J118" t="s">
        <v>500</v>
      </c>
      <c r="K118">
        <v>64</v>
      </c>
      <c r="L118">
        <v>64</v>
      </c>
      <c r="M118" t="s">
        <v>258</v>
      </c>
      <c r="N118" t="s">
        <v>259</v>
      </c>
      <c r="O118" s="3">
        <v>0</v>
      </c>
      <c r="P118" s="3">
        <v>0</v>
      </c>
      <c r="Q118" s="3">
        <v>255.92</v>
      </c>
      <c r="R118" s="3">
        <v>33.269599999999997</v>
      </c>
      <c r="S118" s="3">
        <v>0</v>
      </c>
      <c r="T118" s="3">
        <v>0</v>
      </c>
      <c r="U118" s="3">
        <v>289.19</v>
      </c>
      <c r="V118" t="s">
        <v>1</v>
      </c>
      <c r="W118">
        <v>286.63</v>
      </c>
    </row>
    <row r="119" spans="1:23" x14ac:dyDescent="0.25">
      <c r="A119" s="67" t="str">
        <f>+Tabla2[[#This Row],[NOMBRE DE CLIENTE]]&amp;Tabla2[[#This Row],[ESPACIO]]&amp;Tabla2[[#This Row],[CCF]]&amp;Tabla2[[#This Row],[ESPACIO]]&amp;Tabla2[[#This Row],[N° DOC]]</f>
        <v>CAEX LOGISTICS S.A DE C.V. CCF 63</v>
      </c>
      <c r="B119" s="67" t="s">
        <v>697</v>
      </c>
      <c r="C119" s="67" t="s">
        <v>414</v>
      </c>
      <c r="D119" s="67">
        <f>+VLOOKUP(Tabla2[[#This Row],[NOMBRE DE CLIENTE]],[3]CATALOGO!$A:$B,2,0)</f>
        <v>11030145</v>
      </c>
      <c r="E119" t="s">
        <v>567</v>
      </c>
      <c r="F119" t="s">
        <v>626</v>
      </c>
      <c r="G119" t="s">
        <v>1</v>
      </c>
      <c r="H119" t="s">
        <v>0</v>
      </c>
      <c r="I119" t="s">
        <v>499</v>
      </c>
      <c r="J119" t="s">
        <v>500</v>
      </c>
      <c r="K119">
        <v>63</v>
      </c>
      <c r="L119">
        <v>63</v>
      </c>
      <c r="M119" t="s">
        <v>522</v>
      </c>
      <c r="N119" t="s">
        <v>523</v>
      </c>
      <c r="O119" s="3">
        <v>0</v>
      </c>
      <c r="P119" s="3">
        <v>0</v>
      </c>
      <c r="Q119" s="3">
        <v>275</v>
      </c>
      <c r="R119" s="3">
        <v>35.75</v>
      </c>
      <c r="S119" s="3">
        <v>0</v>
      </c>
      <c r="T119" s="3">
        <v>0</v>
      </c>
      <c r="U119" s="3">
        <v>310.75</v>
      </c>
      <c r="V119" t="s">
        <v>1</v>
      </c>
      <c r="W119">
        <v>308</v>
      </c>
    </row>
    <row r="120" spans="1:23" x14ac:dyDescent="0.25">
      <c r="A120" s="67" t="str">
        <f>+Tabla2[[#This Row],[NOMBRE DE CLIENTE]]&amp;Tabla2[[#This Row],[ESPACIO]]&amp;Tabla2[[#This Row],[CCF]]&amp;Tabla2[[#This Row],[ESPACIO]]&amp;Tabla2[[#This Row],[N° DOC]]</f>
        <v>ANULADO CCF 62</v>
      </c>
      <c r="B120" s="67" t="s">
        <v>697</v>
      </c>
      <c r="C120" s="67" t="s">
        <v>414</v>
      </c>
      <c r="D120" s="67" t="e">
        <f>+VLOOKUP(Tabla2[[#This Row],[NOMBRE DE CLIENTE]],[3]CATALOGO!$A:$B,2,0)</f>
        <v>#N/A</v>
      </c>
      <c r="E120" t="s">
        <v>567</v>
      </c>
      <c r="F120" t="s">
        <v>626</v>
      </c>
      <c r="G120" t="s">
        <v>1</v>
      </c>
      <c r="H120" t="s">
        <v>0</v>
      </c>
      <c r="I120" t="s">
        <v>499</v>
      </c>
      <c r="J120" t="s">
        <v>500</v>
      </c>
      <c r="K120">
        <v>62</v>
      </c>
      <c r="L120">
        <v>62</v>
      </c>
      <c r="M120" t="s">
        <v>186</v>
      </c>
      <c r="N120" t="s">
        <v>30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0</v>
      </c>
      <c r="U120" s="3">
        <v>0</v>
      </c>
      <c r="V120" t="s">
        <v>1</v>
      </c>
      <c r="W120">
        <v>0</v>
      </c>
    </row>
    <row r="121" spans="1:23" x14ac:dyDescent="0.25">
      <c r="A121" s="67" t="str">
        <f>+Tabla2[[#This Row],[NOMBRE DE CLIENTE]]&amp;Tabla2[[#This Row],[ESPACIO]]&amp;Tabla2[[#This Row],[CCF]]&amp;Tabla2[[#This Row],[ESPACIO]]&amp;Tabla2[[#This Row],[N° DOC]]</f>
        <v>ENMANUEL S.A DE C.V. CCF 61</v>
      </c>
      <c r="B121" s="67" t="s">
        <v>697</v>
      </c>
      <c r="C121" s="67" t="s">
        <v>414</v>
      </c>
      <c r="D121" s="67">
        <f>+VLOOKUP(Tabla2[[#This Row],[NOMBRE DE CLIENTE]],[3]CATALOGO!$A:$B,2,0)</f>
        <v>11030127</v>
      </c>
      <c r="E121" t="s">
        <v>567</v>
      </c>
      <c r="F121" t="s">
        <v>627</v>
      </c>
      <c r="G121" t="s">
        <v>1</v>
      </c>
      <c r="H121" t="s">
        <v>0</v>
      </c>
      <c r="I121" t="s">
        <v>499</v>
      </c>
      <c r="J121" t="s">
        <v>500</v>
      </c>
      <c r="K121">
        <v>61</v>
      </c>
      <c r="L121">
        <v>61</v>
      </c>
      <c r="M121" t="s">
        <v>254</v>
      </c>
      <c r="N121" t="s">
        <v>255</v>
      </c>
      <c r="O121" s="3">
        <v>0</v>
      </c>
      <c r="P121" s="3">
        <v>0</v>
      </c>
      <c r="Q121" s="3">
        <v>300</v>
      </c>
      <c r="R121" s="3">
        <v>39</v>
      </c>
      <c r="S121" s="3">
        <v>0</v>
      </c>
      <c r="T121" s="3">
        <v>0</v>
      </c>
      <c r="U121" s="3">
        <v>339</v>
      </c>
      <c r="V121" t="s">
        <v>1</v>
      </c>
      <c r="W121">
        <v>336</v>
      </c>
    </row>
    <row r="122" spans="1:23" x14ac:dyDescent="0.25">
      <c r="A122" s="67" t="str">
        <f>+Tabla2[[#This Row],[NOMBRE DE CLIENTE]]&amp;Tabla2[[#This Row],[ESPACIO]]&amp;Tabla2[[#This Row],[CCF]]&amp;Tabla2[[#This Row],[ESPACIO]]&amp;Tabla2[[#This Row],[N° DOC]]</f>
        <v>LA CONSTANCIA LTDA DE C.V. CCF 60</v>
      </c>
      <c r="B122" s="67" t="s">
        <v>697</v>
      </c>
      <c r="C122" s="67" t="s">
        <v>414</v>
      </c>
      <c r="D122" s="67">
        <f>+VLOOKUP(Tabla2[[#This Row],[NOMBRE DE CLIENTE]],[3]CATALOGO!$A:$B,2,0)</f>
        <v>11030114</v>
      </c>
      <c r="E122" t="s">
        <v>567</v>
      </c>
      <c r="F122" t="s">
        <v>627</v>
      </c>
      <c r="G122" t="s">
        <v>1</v>
      </c>
      <c r="H122" t="s">
        <v>0</v>
      </c>
      <c r="I122" t="s">
        <v>499</v>
      </c>
      <c r="J122" t="s">
        <v>500</v>
      </c>
      <c r="K122">
        <v>60</v>
      </c>
      <c r="L122">
        <v>60</v>
      </c>
      <c r="M122" t="s">
        <v>250</v>
      </c>
      <c r="N122" t="s">
        <v>251</v>
      </c>
      <c r="O122" s="3">
        <v>0</v>
      </c>
      <c r="P122" s="3">
        <v>0</v>
      </c>
      <c r="Q122" s="3">
        <v>619.01</v>
      </c>
      <c r="R122" s="3">
        <v>80.471299999999999</v>
      </c>
      <c r="S122" s="3">
        <v>0</v>
      </c>
      <c r="T122" s="3">
        <v>0</v>
      </c>
      <c r="U122" s="3">
        <v>699.48</v>
      </c>
      <c r="V122" t="s">
        <v>1</v>
      </c>
      <c r="W122">
        <v>693.29</v>
      </c>
    </row>
    <row r="123" spans="1:23" x14ac:dyDescent="0.25">
      <c r="A123" s="67" t="str">
        <f>+Tabla2[[#This Row],[NOMBRE DE CLIENTE]]&amp;Tabla2[[#This Row],[ESPACIO]]&amp;Tabla2[[#This Row],[CCF]]&amp;Tabla2[[#This Row],[ESPACIO]]&amp;Tabla2[[#This Row],[N° DOC]]</f>
        <v>GRUPO PAILL S.A DE C.V. CCF 59</v>
      </c>
      <c r="B123" s="67" t="s">
        <v>697</v>
      </c>
      <c r="C123" s="67" t="s">
        <v>414</v>
      </c>
      <c r="D123" s="67">
        <f>+VLOOKUP(Tabla2[[#This Row],[NOMBRE DE CLIENTE]],[3]CATALOGO!$A:$B,2,0)</f>
        <v>11030104</v>
      </c>
      <c r="E123" t="s">
        <v>567</v>
      </c>
      <c r="F123" t="s">
        <v>628</v>
      </c>
      <c r="G123" t="s">
        <v>1</v>
      </c>
      <c r="H123" t="s">
        <v>0</v>
      </c>
      <c r="I123" t="s">
        <v>499</v>
      </c>
      <c r="J123" t="s">
        <v>500</v>
      </c>
      <c r="K123">
        <v>59</v>
      </c>
      <c r="L123">
        <v>59</v>
      </c>
      <c r="M123" t="s">
        <v>276</v>
      </c>
      <c r="N123" t="s">
        <v>277</v>
      </c>
      <c r="O123" s="3">
        <v>0</v>
      </c>
      <c r="P123" s="3">
        <v>0</v>
      </c>
      <c r="Q123" s="3">
        <v>1292.76</v>
      </c>
      <c r="R123" s="3">
        <v>168.05879999999999</v>
      </c>
      <c r="S123" s="3">
        <v>0</v>
      </c>
      <c r="T123" s="3">
        <v>0</v>
      </c>
      <c r="U123" s="3">
        <v>1460.82</v>
      </c>
      <c r="V123" t="s">
        <v>1</v>
      </c>
      <c r="W123">
        <v>1447.89</v>
      </c>
    </row>
    <row r="124" spans="1:23" x14ac:dyDescent="0.25">
      <c r="A124" s="67" t="str">
        <f>+Tabla2[[#This Row],[NOMBRE DE CLIENTE]]&amp;Tabla2[[#This Row],[ESPACIO]]&amp;Tabla2[[#This Row],[CCF]]&amp;Tabla2[[#This Row],[ESPACIO]]&amp;Tabla2[[#This Row],[N° DOC]]</f>
        <v>POLYBAG S.A DE C.V. CCF 58</v>
      </c>
      <c r="B124" s="67" t="s">
        <v>697</v>
      </c>
      <c r="C124" s="67" t="s">
        <v>414</v>
      </c>
      <c r="D124" s="67">
        <f>+VLOOKUP(Tabla2[[#This Row],[NOMBRE DE CLIENTE]],[3]CATALOGO!$A:$B,2,0)</f>
        <v>11030124</v>
      </c>
      <c r="E124" t="s">
        <v>567</v>
      </c>
      <c r="F124" t="s">
        <v>629</v>
      </c>
      <c r="G124" t="s">
        <v>1</v>
      </c>
      <c r="H124" t="s">
        <v>0</v>
      </c>
      <c r="I124" t="s">
        <v>499</v>
      </c>
      <c r="J124" t="s">
        <v>500</v>
      </c>
      <c r="K124">
        <v>58</v>
      </c>
      <c r="L124">
        <v>58</v>
      </c>
      <c r="M124" t="s">
        <v>256</v>
      </c>
      <c r="N124" t="s">
        <v>257</v>
      </c>
      <c r="O124" s="3">
        <v>0</v>
      </c>
      <c r="P124" s="3">
        <v>0</v>
      </c>
      <c r="Q124" s="3">
        <v>390</v>
      </c>
      <c r="R124" s="3">
        <v>50.7</v>
      </c>
      <c r="S124" s="3">
        <v>0</v>
      </c>
      <c r="T124" s="3">
        <v>0</v>
      </c>
      <c r="U124" s="3">
        <v>440.7</v>
      </c>
      <c r="V124" t="s">
        <v>1</v>
      </c>
      <c r="W124">
        <v>436.8</v>
      </c>
    </row>
    <row r="125" spans="1:23" x14ac:dyDescent="0.25">
      <c r="A125" s="67" t="str">
        <f>+Tabla2[[#This Row],[NOMBRE DE CLIENTE]]&amp;Tabla2[[#This Row],[ESPACIO]]&amp;Tabla2[[#This Row],[CCF]]&amp;Tabla2[[#This Row],[ESPACIO]]&amp;Tabla2[[#This Row],[N° DOC]]</f>
        <v>NEGOCIOS CAMYRAM S.A DE C.V CCF 57</v>
      </c>
      <c r="B125" s="67" t="s">
        <v>697</v>
      </c>
      <c r="C125" s="67" t="s">
        <v>414</v>
      </c>
      <c r="D125" s="67">
        <f>+VLOOKUP(Tabla2[[#This Row],[NOMBRE DE CLIENTE]],[3]CATALOGO!$A:$B,2,0)</f>
        <v>11030102</v>
      </c>
      <c r="E125" t="s">
        <v>567</v>
      </c>
      <c r="F125" t="s">
        <v>630</v>
      </c>
      <c r="G125" t="s">
        <v>1</v>
      </c>
      <c r="H125" t="s">
        <v>0</v>
      </c>
      <c r="I125" t="s">
        <v>499</v>
      </c>
      <c r="J125" t="s">
        <v>500</v>
      </c>
      <c r="K125">
        <v>57</v>
      </c>
      <c r="L125">
        <v>57</v>
      </c>
      <c r="M125" t="s">
        <v>246</v>
      </c>
      <c r="N125" t="s">
        <v>247</v>
      </c>
      <c r="O125" s="3">
        <v>0</v>
      </c>
      <c r="P125" s="3">
        <v>0</v>
      </c>
      <c r="Q125" s="3">
        <v>360.26</v>
      </c>
      <c r="R125" s="3">
        <v>46.833800000000004</v>
      </c>
      <c r="S125" s="3">
        <v>0</v>
      </c>
      <c r="T125" s="3">
        <v>0</v>
      </c>
      <c r="U125" s="3">
        <v>407.09</v>
      </c>
      <c r="V125" t="s">
        <v>1</v>
      </c>
      <c r="W125">
        <v>403.49</v>
      </c>
    </row>
    <row r="126" spans="1:23" x14ac:dyDescent="0.25">
      <c r="A126" s="67" t="str">
        <f>+Tabla2[[#This Row],[NOMBRE DE CLIENTE]]&amp;Tabla2[[#This Row],[ESPACIO]]&amp;Tabla2[[#This Row],[CCF]]&amp;Tabla2[[#This Row],[ESPACIO]]&amp;Tabla2[[#This Row],[N° DOC]]</f>
        <v>BANCO AGRICOLA, S.A. CCF 56</v>
      </c>
      <c r="B126" s="67" t="s">
        <v>697</v>
      </c>
      <c r="C126" s="67" t="s">
        <v>414</v>
      </c>
      <c r="D126" s="67">
        <f>+VLOOKUP(Tabla2[[#This Row],[NOMBRE DE CLIENTE]],[3]CATALOGO!$A:$B,2,0)</f>
        <v>11030106</v>
      </c>
      <c r="E126" t="s">
        <v>567</v>
      </c>
      <c r="F126" t="s">
        <v>630</v>
      </c>
      <c r="G126" t="s">
        <v>1</v>
      </c>
      <c r="H126" t="s">
        <v>0</v>
      </c>
      <c r="I126" t="s">
        <v>499</v>
      </c>
      <c r="J126" t="s">
        <v>500</v>
      </c>
      <c r="K126">
        <v>56</v>
      </c>
      <c r="L126">
        <v>56</v>
      </c>
      <c r="M126" t="s">
        <v>244</v>
      </c>
      <c r="N126" t="s">
        <v>245</v>
      </c>
      <c r="O126" s="3">
        <v>0</v>
      </c>
      <c r="P126" s="3">
        <v>0</v>
      </c>
      <c r="Q126" s="3">
        <v>357.36</v>
      </c>
      <c r="R126" s="3">
        <v>46.456800000000001</v>
      </c>
      <c r="S126" s="3">
        <v>0</v>
      </c>
      <c r="T126" s="3">
        <v>0</v>
      </c>
      <c r="U126" s="3">
        <v>403.82</v>
      </c>
      <c r="V126" t="s">
        <v>1</v>
      </c>
      <c r="W126">
        <v>400.24</v>
      </c>
    </row>
    <row r="127" spans="1:23" x14ac:dyDescent="0.25">
      <c r="A127" s="67" t="str">
        <f>+Tabla2[[#This Row],[NOMBRE DE CLIENTE]]&amp;Tabla2[[#This Row],[ESPACIO]]&amp;Tabla2[[#This Row],[CCF]]&amp;Tabla2[[#This Row],[ESPACIO]]&amp;Tabla2[[#This Row],[N° DOC]]</f>
        <v>BANCO AGRICOLA, S.A. CCF 55</v>
      </c>
      <c r="B127" s="67" t="s">
        <v>697</v>
      </c>
      <c r="C127" s="67" t="s">
        <v>414</v>
      </c>
      <c r="D127" s="67">
        <f>+VLOOKUP(Tabla2[[#This Row],[NOMBRE DE CLIENTE]],[3]CATALOGO!$A:$B,2,0)</f>
        <v>11030106</v>
      </c>
      <c r="E127" t="s">
        <v>567</v>
      </c>
      <c r="F127" t="s">
        <v>630</v>
      </c>
      <c r="G127" t="s">
        <v>1</v>
      </c>
      <c r="H127" t="s">
        <v>0</v>
      </c>
      <c r="I127" t="s">
        <v>499</v>
      </c>
      <c r="J127" t="s">
        <v>500</v>
      </c>
      <c r="K127">
        <v>55</v>
      </c>
      <c r="L127">
        <v>55</v>
      </c>
      <c r="M127" t="s">
        <v>244</v>
      </c>
      <c r="N127" t="s">
        <v>245</v>
      </c>
      <c r="O127" s="3">
        <v>0</v>
      </c>
      <c r="P127" s="3">
        <v>0</v>
      </c>
      <c r="Q127" s="3">
        <v>152.65</v>
      </c>
      <c r="R127" s="3">
        <v>19.8445</v>
      </c>
      <c r="S127" s="3">
        <v>0</v>
      </c>
      <c r="T127" s="3">
        <v>0</v>
      </c>
      <c r="U127" s="3">
        <v>172.49</v>
      </c>
      <c r="V127" t="s">
        <v>1</v>
      </c>
      <c r="W127">
        <v>170.97</v>
      </c>
    </row>
    <row r="128" spans="1:23" x14ac:dyDescent="0.25">
      <c r="A128" s="67" t="str">
        <f>+Tabla2[[#This Row],[NOMBRE DE CLIENTE]]&amp;Tabla2[[#This Row],[ESPACIO]]&amp;Tabla2[[#This Row],[CCF]]&amp;Tabla2[[#This Row],[ESPACIO]]&amp;Tabla2[[#This Row],[N° DOC]]</f>
        <v>BANCO AGRICOLA, S.A. CCF 54</v>
      </c>
      <c r="B128" s="67" t="s">
        <v>697</v>
      </c>
      <c r="C128" s="67" t="s">
        <v>414</v>
      </c>
      <c r="D128" s="67">
        <f>+VLOOKUP(Tabla2[[#This Row],[NOMBRE DE CLIENTE]],[3]CATALOGO!$A:$B,2,0)</f>
        <v>11030106</v>
      </c>
      <c r="E128" t="s">
        <v>567</v>
      </c>
      <c r="F128" t="s">
        <v>630</v>
      </c>
      <c r="G128" t="s">
        <v>1</v>
      </c>
      <c r="H128" t="s">
        <v>0</v>
      </c>
      <c r="I128" t="s">
        <v>499</v>
      </c>
      <c r="J128" t="s">
        <v>500</v>
      </c>
      <c r="K128">
        <v>54</v>
      </c>
      <c r="L128">
        <v>54</v>
      </c>
      <c r="M128" t="s">
        <v>244</v>
      </c>
      <c r="N128" t="s">
        <v>245</v>
      </c>
      <c r="O128" s="3">
        <v>0</v>
      </c>
      <c r="P128" s="3">
        <v>0</v>
      </c>
      <c r="Q128" s="3">
        <v>152.65</v>
      </c>
      <c r="R128" s="3">
        <v>19.8445</v>
      </c>
      <c r="S128" s="3">
        <v>0</v>
      </c>
      <c r="T128" s="3">
        <v>0</v>
      </c>
      <c r="U128" s="3">
        <v>172.49</v>
      </c>
      <c r="V128" t="s">
        <v>1</v>
      </c>
      <c r="W128">
        <v>170.97</v>
      </c>
    </row>
    <row r="129" spans="1:23" x14ac:dyDescent="0.25">
      <c r="A129" s="67" t="str">
        <f>+Tabla2[[#This Row],[NOMBRE DE CLIENTE]]&amp;Tabla2[[#This Row],[ESPACIO]]&amp;Tabla2[[#This Row],[CCF]]&amp;Tabla2[[#This Row],[ESPACIO]]&amp;Tabla2[[#This Row],[N° DOC]]</f>
        <v>SUPER REPUESTOS EL SALVADOR S.A DE C.V. CCF 53</v>
      </c>
      <c r="B129" s="67" t="s">
        <v>697</v>
      </c>
      <c r="C129" s="67" t="s">
        <v>414</v>
      </c>
      <c r="D129" s="67">
        <f>+VLOOKUP(Tabla2[[#This Row],[NOMBRE DE CLIENTE]],[3]CATALOGO!$A:$B,2,0)</f>
        <v>11030115</v>
      </c>
      <c r="E129" t="s">
        <v>567</v>
      </c>
      <c r="F129" t="s">
        <v>630</v>
      </c>
      <c r="G129" t="s">
        <v>1</v>
      </c>
      <c r="H129" t="s">
        <v>0</v>
      </c>
      <c r="I129" t="s">
        <v>499</v>
      </c>
      <c r="J129" t="s">
        <v>500</v>
      </c>
      <c r="K129">
        <v>53</v>
      </c>
      <c r="L129">
        <v>53</v>
      </c>
      <c r="M129" t="s">
        <v>264</v>
      </c>
      <c r="N129" t="s">
        <v>265</v>
      </c>
      <c r="O129" s="3">
        <v>0</v>
      </c>
      <c r="P129" s="3">
        <v>0</v>
      </c>
      <c r="Q129" s="3">
        <v>195</v>
      </c>
      <c r="R129" s="3">
        <v>25.35</v>
      </c>
      <c r="S129" s="3">
        <v>0</v>
      </c>
      <c r="T129" s="3">
        <v>0</v>
      </c>
      <c r="U129" s="3">
        <v>220.35</v>
      </c>
      <c r="V129" t="s">
        <v>1</v>
      </c>
      <c r="W129">
        <v>218.4</v>
      </c>
    </row>
    <row r="130" spans="1:23" x14ac:dyDescent="0.25">
      <c r="A130" s="67" t="str">
        <f>+Tabla2[[#This Row],[NOMBRE DE CLIENTE]]&amp;Tabla2[[#This Row],[ESPACIO]]&amp;Tabla2[[#This Row],[CCF]]&amp;Tabla2[[#This Row],[ESPACIO]]&amp;Tabla2[[#This Row],[N° DOC]]</f>
        <v>PROGURSA S.A DE C.V. CCF 52</v>
      </c>
      <c r="B130" s="67" t="s">
        <v>697</v>
      </c>
      <c r="C130" s="67" t="s">
        <v>414</v>
      </c>
      <c r="D130" s="67">
        <f>+VLOOKUP(Tabla2[[#This Row],[NOMBRE DE CLIENTE]],[3]CATALOGO!$A:$B,2,0)</f>
        <v>11030137</v>
      </c>
      <c r="E130" t="s">
        <v>567</v>
      </c>
      <c r="F130" t="s">
        <v>630</v>
      </c>
      <c r="G130" t="s">
        <v>1</v>
      </c>
      <c r="H130" t="s">
        <v>0</v>
      </c>
      <c r="I130" t="s">
        <v>499</v>
      </c>
      <c r="J130" t="s">
        <v>500</v>
      </c>
      <c r="K130">
        <v>52</v>
      </c>
      <c r="L130">
        <v>52</v>
      </c>
      <c r="M130" t="s">
        <v>266</v>
      </c>
      <c r="N130" t="s">
        <v>267</v>
      </c>
      <c r="O130" s="3">
        <v>0</v>
      </c>
      <c r="P130" s="3">
        <v>0</v>
      </c>
      <c r="Q130" s="3">
        <v>150</v>
      </c>
      <c r="R130" s="3">
        <v>19.5</v>
      </c>
      <c r="S130" s="3">
        <v>0</v>
      </c>
      <c r="T130" s="3">
        <v>0</v>
      </c>
      <c r="U130" s="3">
        <v>169.5</v>
      </c>
      <c r="V130" t="s">
        <v>1</v>
      </c>
      <c r="W130">
        <v>168</v>
      </c>
    </row>
    <row r="131" spans="1:23" x14ac:dyDescent="0.25">
      <c r="A131" s="67" t="str">
        <f>+Tabla2[[#This Row],[NOMBRE DE CLIENTE]]&amp;Tabla2[[#This Row],[ESPACIO]]&amp;Tabla2[[#This Row],[CCF]]&amp;Tabla2[[#This Row],[ESPACIO]]&amp;Tabla2[[#This Row],[N° DOC]]</f>
        <v>UNILEVER EL SALVADOR SCC S.A DE C.V. CCF 51</v>
      </c>
      <c r="B131" s="67" t="s">
        <v>697</v>
      </c>
      <c r="C131" s="67" t="s">
        <v>414</v>
      </c>
      <c r="D131" s="67">
        <f>+VLOOKUP(Tabla2[[#This Row],[NOMBRE DE CLIENTE]],[3]CATALOGO!$A:$B,2,0)</f>
        <v>11030108</v>
      </c>
      <c r="E131" t="s">
        <v>567</v>
      </c>
      <c r="F131" t="s">
        <v>630</v>
      </c>
      <c r="G131" t="s">
        <v>1</v>
      </c>
      <c r="H131" t="s">
        <v>0</v>
      </c>
      <c r="I131" t="s">
        <v>499</v>
      </c>
      <c r="J131" t="s">
        <v>500</v>
      </c>
      <c r="K131">
        <v>51</v>
      </c>
      <c r="L131">
        <v>51</v>
      </c>
      <c r="M131" t="s">
        <v>262</v>
      </c>
      <c r="N131" t="s">
        <v>263</v>
      </c>
      <c r="O131" s="3">
        <v>0</v>
      </c>
      <c r="P131" s="3">
        <v>0</v>
      </c>
      <c r="Q131" s="3">
        <v>1235.42</v>
      </c>
      <c r="R131" s="3">
        <v>160.6046</v>
      </c>
      <c r="S131" s="3">
        <v>0</v>
      </c>
      <c r="T131" s="3">
        <v>0</v>
      </c>
      <c r="U131" s="3">
        <v>1396.02</v>
      </c>
      <c r="V131" t="s">
        <v>1</v>
      </c>
      <c r="W131">
        <v>1383.67</v>
      </c>
    </row>
    <row r="132" spans="1:23" x14ac:dyDescent="0.25">
      <c r="A132" s="67" t="str">
        <f>+Tabla2[[#This Row],[NOMBRE DE CLIENTE]]&amp;Tabla2[[#This Row],[ESPACIO]]&amp;Tabla2[[#This Row],[CCF]]&amp;Tabla2[[#This Row],[ESPACIO]]&amp;Tabla2[[#This Row],[N° DOC]]</f>
        <v>HOTELES S.A DE C.V. CCF 50</v>
      </c>
      <c r="B132" s="67" t="s">
        <v>697</v>
      </c>
      <c r="C132" s="67" t="s">
        <v>414</v>
      </c>
      <c r="D132" s="67">
        <f>+VLOOKUP(Tabla2[[#This Row],[NOMBRE DE CLIENTE]],[3]CATALOGO!$A:$B,2,0)</f>
        <v>11030111</v>
      </c>
      <c r="E132" t="s">
        <v>567</v>
      </c>
      <c r="F132" t="s">
        <v>631</v>
      </c>
      <c r="G132" t="s">
        <v>1</v>
      </c>
      <c r="H132" t="s">
        <v>0</v>
      </c>
      <c r="I132" t="s">
        <v>499</v>
      </c>
      <c r="J132" t="s">
        <v>500</v>
      </c>
      <c r="K132">
        <v>50</v>
      </c>
      <c r="L132">
        <v>50</v>
      </c>
      <c r="M132" t="s">
        <v>268</v>
      </c>
      <c r="N132" t="s">
        <v>269</v>
      </c>
      <c r="O132" s="3">
        <v>0</v>
      </c>
      <c r="P132" s="3">
        <v>0</v>
      </c>
      <c r="Q132" s="3">
        <v>750</v>
      </c>
      <c r="R132" s="3">
        <v>97.5</v>
      </c>
      <c r="S132" s="3">
        <v>0</v>
      </c>
      <c r="T132" s="3">
        <v>0</v>
      </c>
      <c r="U132" s="3">
        <v>847.5</v>
      </c>
      <c r="V132" t="s">
        <v>1</v>
      </c>
      <c r="W132">
        <v>840</v>
      </c>
    </row>
    <row r="133" spans="1:23" x14ac:dyDescent="0.25">
      <c r="A133" s="67" t="str">
        <f>+Tabla2[[#This Row],[NOMBRE DE CLIENTE]]&amp;Tabla2[[#This Row],[ESPACIO]]&amp;Tabla2[[#This Row],[CCF]]&amp;Tabla2[[#This Row],[ESPACIO]]&amp;Tabla2[[#This Row],[N° DOC]]</f>
        <v>PINTURA Y ENDEREZADO S.A DE C.V. CCF 49</v>
      </c>
      <c r="B133" s="67" t="s">
        <v>697</v>
      </c>
      <c r="C133" s="67" t="s">
        <v>414</v>
      </c>
      <c r="D133" s="67">
        <f>+VLOOKUP(Tabla2[[#This Row],[NOMBRE DE CLIENTE]],[3]CATALOGO!$A:$B,2,0)</f>
        <v>11030112</v>
      </c>
      <c r="E133" t="s">
        <v>567</v>
      </c>
      <c r="F133" t="s">
        <v>631</v>
      </c>
      <c r="G133" t="s">
        <v>1</v>
      </c>
      <c r="H133" t="s">
        <v>0</v>
      </c>
      <c r="I133" t="s">
        <v>499</v>
      </c>
      <c r="J133" t="s">
        <v>500</v>
      </c>
      <c r="K133">
        <v>49</v>
      </c>
      <c r="L133">
        <v>49</v>
      </c>
      <c r="M133" t="s">
        <v>270</v>
      </c>
      <c r="N133" t="s">
        <v>271</v>
      </c>
      <c r="O133" s="3">
        <v>0</v>
      </c>
      <c r="P133" s="3">
        <v>0</v>
      </c>
      <c r="Q133" s="3">
        <v>148.04</v>
      </c>
      <c r="R133" s="3">
        <v>19.245200000000001</v>
      </c>
      <c r="S133" s="3">
        <v>0</v>
      </c>
      <c r="T133" s="3">
        <v>0</v>
      </c>
      <c r="U133" s="3">
        <v>167.29</v>
      </c>
      <c r="V133" t="s">
        <v>1</v>
      </c>
      <c r="W133">
        <v>165.8</v>
      </c>
    </row>
    <row r="134" spans="1:23" x14ac:dyDescent="0.25">
      <c r="A134" s="67" t="str">
        <f>+Tabla2[[#This Row],[NOMBRE DE CLIENTE]]&amp;Tabla2[[#This Row],[ESPACIO]]&amp;Tabla2[[#This Row],[CCF]]&amp;Tabla2[[#This Row],[ESPACIO]]&amp;Tabla2[[#This Row],[N° DOC]]</f>
        <v>DIDEA S.A DE C.V. CCF 48</v>
      </c>
      <c r="B134" s="67" t="s">
        <v>697</v>
      </c>
      <c r="C134" s="67" t="s">
        <v>414</v>
      </c>
      <c r="D134" s="67">
        <f>+VLOOKUP(Tabla2[[#This Row],[NOMBRE DE CLIENTE]],[3]CATALOGO!$A:$B,2,0)</f>
        <v>11030117</v>
      </c>
      <c r="E134" t="s">
        <v>567</v>
      </c>
      <c r="F134" t="s">
        <v>631</v>
      </c>
      <c r="G134" t="s">
        <v>1</v>
      </c>
      <c r="H134" t="s">
        <v>0</v>
      </c>
      <c r="I134" t="s">
        <v>499</v>
      </c>
      <c r="J134" t="s">
        <v>500</v>
      </c>
      <c r="K134">
        <v>48</v>
      </c>
      <c r="L134">
        <v>48</v>
      </c>
      <c r="M134" t="s">
        <v>274</v>
      </c>
      <c r="N134" t="s">
        <v>275</v>
      </c>
      <c r="O134" s="3">
        <v>0</v>
      </c>
      <c r="P134" s="3">
        <v>0</v>
      </c>
      <c r="Q134" s="3">
        <v>141.1</v>
      </c>
      <c r="R134" s="3">
        <v>18.343</v>
      </c>
      <c r="S134" s="3">
        <v>0</v>
      </c>
      <c r="T134" s="3">
        <v>0</v>
      </c>
      <c r="U134" s="3">
        <v>159.44</v>
      </c>
      <c r="V134" t="s">
        <v>1</v>
      </c>
      <c r="W134">
        <v>158.03</v>
      </c>
    </row>
    <row r="135" spans="1:23" x14ac:dyDescent="0.25">
      <c r="A135" s="67" t="str">
        <f>+Tabla2[[#This Row],[NOMBRE DE CLIENTE]]&amp;Tabla2[[#This Row],[ESPACIO]]&amp;Tabla2[[#This Row],[CCF]]&amp;Tabla2[[#This Row],[ESPACIO]]&amp;Tabla2[[#This Row],[N° DOC]]</f>
        <v>TALLER DIDEA, S.A. DE C.V. CCF 47</v>
      </c>
      <c r="B135" s="67" t="s">
        <v>697</v>
      </c>
      <c r="C135" s="67" t="s">
        <v>414</v>
      </c>
      <c r="D135" s="67">
        <f>+VLOOKUP(Tabla2[[#This Row],[NOMBRE DE CLIENTE]],[3]CATALOGO!$A:$B,2,0)</f>
        <v>11030109</v>
      </c>
      <c r="E135" t="s">
        <v>567</v>
      </c>
      <c r="F135" t="s">
        <v>631</v>
      </c>
      <c r="G135" t="s">
        <v>1</v>
      </c>
      <c r="H135" t="s">
        <v>0</v>
      </c>
      <c r="I135" t="s">
        <v>499</v>
      </c>
      <c r="J135" t="s">
        <v>500</v>
      </c>
      <c r="K135">
        <v>47</v>
      </c>
      <c r="L135">
        <v>47</v>
      </c>
      <c r="M135" t="s">
        <v>272</v>
      </c>
      <c r="N135" t="s">
        <v>273</v>
      </c>
      <c r="O135" s="3">
        <v>0</v>
      </c>
      <c r="P135" s="3">
        <v>0</v>
      </c>
      <c r="Q135" s="3">
        <v>377.6</v>
      </c>
      <c r="R135" s="3">
        <v>49.088000000000008</v>
      </c>
      <c r="S135" s="3">
        <v>0</v>
      </c>
      <c r="T135" s="3">
        <v>0</v>
      </c>
      <c r="U135" s="3">
        <v>426.69</v>
      </c>
      <c r="V135" t="s">
        <v>1</v>
      </c>
      <c r="W135">
        <v>422.91</v>
      </c>
    </row>
    <row r="136" spans="1:23" x14ac:dyDescent="0.25">
      <c r="A136" s="67" t="str">
        <f>+Tabla2[[#This Row],[NOMBRE DE CLIENTE]]&amp;Tabla2[[#This Row],[ESPACIO]]&amp;Tabla2[[#This Row],[CCF]]&amp;Tabla2[[#This Row],[ESPACIO]]&amp;Tabla2[[#This Row],[N° DOC]]</f>
        <v>PRODUCTOS CARNICOS S.A DE C.V. CCF 46</v>
      </c>
      <c r="B136" s="67" t="s">
        <v>697</v>
      </c>
      <c r="C136" s="67" t="s">
        <v>414</v>
      </c>
      <c r="D136" s="67">
        <f>+VLOOKUP(Tabla2[[#This Row],[NOMBRE DE CLIENTE]],[3]CATALOGO!$A:$B,2,0)</f>
        <v>11030103</v>
      </c>
      <c r="E136" t="s">
        <v>516</v>
      </c>
      <c r="F136" t="s">
        <v>529</v>
      </c>
      <c r="G136" t="s">
        <v>1</v>
      </c>
      <c r="H136" t="s">
        <v>0</v>
      </c>
      <c r="I136" t="s">
        <v>499</v>
      </c>
      <c r="J136" t="s">
        <v>500</v>
      </c>
      <c r="K136">
        <v>46</v>
      </c>
      <c r="L136">
        <v>46</v>
      </c>
      <c r="M136" t="s">
        <v>242</v>
      </c>
      <c r="N136" t="s">
        <v>243</v>
      </c>
      <c r="O136" s="3">
        <v>0</v>
      </c>
      <c r="P136" s="3">
        <v>0</v>
      </c>
      <c r="Q136" s="3">
        <v>3163.4</v>
      </c>
      <c r="R136" s="3">
        <v>411.24200000000002</v>
      </c>
      <c r="S136" s="3">
        <v>0</v>
      </c>
      <c r="T136" s="3">
        <v>0</v>
      </c>
      <c r="U136" s="3">
        <v>3574.64</v>
      </c>
      <c r="V136" t="s">
        <v>1</v>
      </c>
      <c r="W136">
        <v>3543.01</v>
      </c>
    </row>
    <row r="137" spans="1:23" x14ac:dyDescent="0.25">
      <c r="A137" s="67" t="str">
        <f>+Tabla2[[#This Row],[NOMBRE DE CLIENTE]]&amp;Tabla2[[#This Row],[ESPACIO]]&amp;Tabla2[[#This Row],[CCF]]&amp;Tabla2[[#This Row],[ESPACIO]]&amp;Tabla2[[#This Row],[N° DOC]]</f>
        <v>PRODUCTOS CARNICOS S.A DE C.V. CCF 45</v>
      </c>
      <c r="B137" s="67" t="s">
        <v>697</v>
      </c>
      <c r="C137" s="67" t="s">
        <v>414</v>
      </c>
      <c r="D137" s="67">
        <f>+VLOOKUP(Tabla2[[#This Row],[NOMBRE DE CLIENTE]],[3]CATALOGO!$A:$B,2,0)</f>
        <v>11030103</v>
      </c>
      <c r="E137" t="s">
        <v>516</v>
      </c>
      <c r="F137" t="s">
        <v>529</v>
      </c>
      <c r="G137" t="s">
        <v>1</v>
      </c>
      <c r="H137" t="s">
        <v>0</v>
      </c>
      <c r="I137" t="s">
        <v>499</v>
      </c>
      <c r="J137" t="s">
        <v>500</v>
      </c>
      <c r="K137">
        <v>45</v>
      </c>
      <c r="L137">
        <v>45</v>
      </c>
      <c r="M137" t="s">
        <v>242</v>
      </c>
      <c r="N137" t="s">
        <v>243</v>
      </c>
      <c r="O137" s="3">
        <v>0</v>
      </c>
      <c r="P137" s="3">
        <v>0</v>
      </c>
      <c r="Q137" s="3">
        <v>344.6</v>
      </c>
      <c r="R137" s="3">
        <v>44.798000000000002</v>
      </c>
      <c r="S137" s="3">
        <v>0</v>
      </c>
      <c r="T137" s="3">
        <v>0</v>
      </c>
      <c r="U137" s="3">
        <v>389.4</v>
      </c>
      <c r="V137" t="s">
        <v>1</v>
      </c>
      <c r="W137">
        <v>385.95</v>
      </c>
    </row>
    <row r="138" spans="1:23" x14ac:dyDescent="0.25">
      <c r="A138" s="67" t="str">
        <f>+Tabla2[[#This Row],[NOMBRE DE CLIENTE]]&amp;Tabla2[[#This Row],[ESPACIO]]&amp;Tabla2[[#This Row],[CCF]]&amp;Tabla2[[#This Row],[ESPACIO]]&amp;Tabla2[[#This Row],[N° DOC]]</f>
        <v>INDUSTRIAS MIKE MIKE S.A DE C.V. CCF 44</v>
      </c>
      <c r="B138" s="67" t="s">
        <v>697</v>
      </c>
      <c r="C138" s="67" t="s">
        <v>414</v>
      </c>
      <c r="D138" s="67">
        <f>+VLOOKUP(Tabla2[[#This Row],[NOMBRE DE CLIENTE]],[3]CATALOGO!$A:$B,2,0)</f>
        <v>11030116</v>
      </c>
      <c r="E138" t="s">
        <v>516</v>
      </c>
      <c r="F138" t="s">
        <v>528</v>
      </c>
      <c r="G138" t="s">
        <v>1</v>
      </c>
      <c r="H138" t="s">
        <v>0</v>
      </c>
      <c r="I138" t="s">
        <v>499</v>
      </c>
      <c r="J138" t="s">
        <v>500</v>
      </c>
      <c r="K138">
        <v>44</v>
      </c>
      <c r="L138">
        <v>44</v>
      </c>
      <c r="M138" t="s">
        <v>248</v>
      </c>
      <c r="N138" t="s">
        <v>249</v>
      </c>
      <c r="O138" s="3">
        <v>0</v>
      </c>
      <c r="P138" s="3">
        <v>0</v>
      </c>
      <c r="Q138" s="3">
        <v>165.92</v>
      </c>
      <c r="R138" s="3">
        <v>21.569599999999998</v>
      </c>
      <c r="S138" s="3">
        <v>0</v>
      </c>
      <c r="T138" s="3">
        <v>0</v>
      </c>
      <c r="U138" s="3">
        <v>187.49</v>
      </c>
      <c r="V138" t="s">
        <v>1</v>
      </c>
      <c r="W138">
        <v>185.83</v>
      </c>
    </row>
    <row r="139" spans="1:23" ht="13.5" customHeight="1" x14ac:dyDescent="0.25">
      <c r="A139" s="67" t="str">
        <f>+Tabla2[[#This Row],[NOMBRE DE CLIENTE]]&amp;Tabla2[[#This Row],[ESPACIO]]&amp;Tabla2[[#This Row],[CCF]]&amp;Tabla2[[#This Row],[ESPACIO]]&amp;Tabla2[[#This Row],[N° DOC]]</f>
        <v>NEMTEX S.A DE C.V. CCF 43</v>
      </c>
      <c r="B139" s="67" t="s">
        <v>697</v>
      </c>
      <c r="C139" s="67" t="s">
        <v>414</v>
      </c>
      <c r="D139" s="67">
        <f>+VLOOKUP(Tabla2[[#This Row],[NOMBRE DE CLIENTE]],[3]CATALOGO!$A:$B,2,0)</f>
        <v>11030118</v>
      </c>
      <c r="E139" t="s">
        <v>516</v>
      </c>
      <c r="F139" t="s">
        <v>528</v>
      </c>
      <c r="G139" t="s">
        <v>1</v>
      </c>
      <c r="H139" t="s">
        <v>0</v>
      </c>
      <c r="I139" t="s">
        <v>499</v>
      </c>
      <c r="J139" t="s">
        <v>500</v>
      </c>
      <c r="K139">
        <v>43</v>
      </c>
      <c r="L139">
        <v>43</v>
      </c>
      <c r="M139" t="s">
        <v>258</v>
      </c>
      <c r="N139" t="s">
        <v>259</v>
      </c>
      <c r="O139" s="3">
        <v>0</v>
      </c>
      <c r="P139" s="3">
        <v>0</v>
      </c>
      <c r="Q139" s="3">
        <v>255.92</v>
      </c>
      <c r="R139" s="3">
        <v>33.269599999999997</v>
      </c>
      <c r="S139" s="3">
        <v>0</v>
      </c>
      <c r="T139" s="3">
        <v>0</v>
      </c>
      <c r="U139" s="3">
        <v>289.19</v>
      </c>
      <c r="V139" t="s">
        <v>1</v>
      </c>
      <c r="W139">
        <v>286.63</v>
      </c>
    </row>
    <row r="140" spans="1:23" x14ac:dyDescent="0.25">
      <c r="A140" s="67" t="str">
        <f>+Tabla2[[#This Row],[NOMBRE DE CLIENTE]]&amp;Tabla2[[#This Row],[ESPACIO]]&amp;Tabla2[[#This Row],[CCF]]&amp;Tabla2[[#This Row],[ESPACIO]]&amp;Tabla2[[#This Row],[N° DOC]]</f>
        <v>INVERSIONES STANLEY PACIFICO S.A DE C.V. CCF 42</v>
      </c>
      <c r="B140" s="67" t="s">
        <v>697</v>
      </c>
      <c r="C140" s="67" t="s">
        <v>414</v>
      </c>
      <c r="D140" s="67">
        <f>+VLOOKUP(Tabla2[[#This Row],[NOMBRE DE CLIENTE]],[3]CATALOGO!$A:$B,2,0)</f>
        <v>11030113</v>
      </c>
      <c r="E140" t="s">
        <v>516</v>
      </c>
      <c r="F140" t="s">
        <v>528</v>
      </c>
      <c r="G140" t="s">
        <v>1</v>
      </c>
      <c r="H140" t="s">
        <v>0</v>
      </c>
      <c r="I140" t="s">
        <v>499</v>
      </c>
      <c r="J140" t="s">
        <v>500</v>
      </c>
      <c r="K140">
        <v>42</v>
      </c>
      <c r="L140">
        <v>42</v>
      </c>
      <c r="M140" t="s">
        <v>252</v>
      </c>
      <c r="N140" t="s">
        <v>253</v>
      </c>
      <c r="O140" s="3">
        <v>0</v>
      </c>
      <c r="P140" s="3">
        <v>0</v>
      </c>
      <c r="Q140" s="3">
        <v>386.64</v>
      </c>
      <c r="R140" s="3">
        <v>50.263199999999998</v>
      </c>
      <c r="S140" s="3">
        <v>0</v>
      </c>
      <c r="T140" s="3">
        <v>0</v>
      </c>
      <c r="U140" s="3">
        <v>436.9</v>
      </c>
      <c r="V140" t="s">
        <v>1</v>
      </c>
      <c r="W140">
        <v>433.04</v>
      </c>
    </row>
    <row r="141" spans="1:23" x14ac:dyDescent="0.25">
      <c r="A141" s="67" t="str">
        <f>+Tabla2[[#This Row],[NOMBRE DE CLIENTE]]&amp;Tabla2[[#This Row],[ESPACIO]]&amp;Tabla2[[#This Row],[CCF]]&amp;Tabla2[[#This Row],[ESPACIO]]&amp;Tabla2[[#This Row],[N° DOC]]</f>
        <v>GRUPO PAILL S.A DE C.V. CCF 41</v>
      </c>
      <c r="B141" s="67" t="s">
        <v>697</v>
      </c>
      <c r="C141" s="67" t="s">
        <v>414</v>
      </c>
      <c r="D141" s="67">
        <f>+VLOOKUP(Tabla2[[#This Row],[NOMBRE DE CLIENTE]],[3]CATALOGO!$A:$B,2,0)</f>
        <v>11030104</v>
      </c>
      <c r="E141" t="s">
        <v>516</v>
      </c>
      <c r="F141" t="s">
        <v>528</v>
      </c>
      <c r="G141" t="s">
        <v>1</v>
      </c>
      <c r="H141" t="s">
        <v>0</v>
      </c>
      <c r="I141" t="s">
        <v>499</v>
      </c>
      <c r="J141" t="s">
        <v>500</v>
      </c>
      <c r="K141">
        <v>41</v>
      </c>
      <c r="L141">
        <v>41</v>
      </c>
      <c r="M141" t="s">
        <v>276</v>
      </c>
      <c r="N141" t="s">
        <v>277</v>
      </c>
      <c r="O141" s="3">
        <v>0</v>
      </c>
      <c r="P141" s="3">
        <v>0</v>
      </c>
      <c r="Q141" s="3">
        <v>1184.68</v>
      </c>
      <c r="R141" s="3">
        <v>154.00840000000002</v>
      </c>
      <c r="S141" s="3">
        <v>0</v>
      </c>
      <c r="T141" s="3">
        <v>0</v>
      </c>
      <c r="U141" s="3">
        <v>1338.69</v>
      </c>
      <c r="V141" t="s">
        <v>1</v>
      </c>
      <c r="W141">
        <v>1326.84</v>
      </c>
    </row>
    <row r="142" spans="1:23" x14ac:dyDescent="0.25">
      <c r="A142" s="67" t="str">
        <f>+Tabla2[[#This Row],[NOMBRE DE CLIENTE]]&amp;Tabla2[[#This Row],[ESPACIO]]&amp;Tabla2[[#This Row],[CCF]]&amp;Tabla2[[#This Row],[ESPACIO]]&amp;Tabla2[[#This Row],[N° DOC]]</f>
        <v>OPERADORA DEL SUR, S. A. DE C.V. CCF 40</v>
      </c>
      <c r="B142" s="67" t="s">
        <v>697</v>
      </c>
      <c r="C142" s="67" t="s">
        <v>414</v>
      </c>
      <c r="D142" s="67">
        <f>+VLOOKUP(Tabla2[[#This Row],[NOMBRE DE CLIENTE]],[3]CATALOGO!$A:$B,2,0)</f>
        <v>11030105</v>
      </c>
      <c r="E142" t="s">
        <v>516</v>
      </c>
      <c r="F142" t="s">
        <v>528</v>
      </c>
      <c r="G142" t="s">
        <v>1</v>
      </c>
      <c r="H142" t="s">
        <v>0</v>
      </c>
      <c r="I142" t="s">
        <v>499</v>
      </c>
      <c r="J142" t="s">
        <v>500</v>
      </c>
      <c r="K142">
        <v>40</v>
      </c>
      <c r="L142">
        <v>40</v>
      </c>
      <c r="M142" t="s">
        <v>240</v>
      </c>
      <c r="N142" t="s">
        <v>241</v>
      </c>
      <c r="O142" s="3">
        <v>0</v>
      </c>
      <c r="P142" s="3">
        <v>0</v>
      </c>
      <c r="Q142" s="3">
        <v>6478.43</v>
      </c>
      <c r="R142" s="3">
        <v>842.19590000000005</v>
      </c>
      <c r="S142" s="3">
        <v>0</v>
      </c>
      <c r="T142" s="3">
        <v>0</v>
      </c>
      <c r="U142" s="3">
        <v>7320.63</v>
      </c>
      <c r="V142" t="s">
        <v>1</v>
      </c>
      <c r="W142">
        <v>7255.84</v>
      </c>
    </row>
    <row r="143" spans="1:23" x14ac:dyDescent="0.25">
      <c r="A143" s="67" t="str">
        <f>+Tabla2[[#This Row],[NOMBRE DE CLIENTE]]&amp;Tabla2[[#This Row],[ESPACIO]]&amp;Tabla2[[#This Row],[CCF]]&amp;Tabla2[[#This Row],[ESPACIO]]&amp;Tabla2[[#This Row],[N° DOC]]</f>
        <v>OPERADORA DEL SUR, S. A. DE C.V. CCF 39</v>
      </c>
      <c r="B143" s="67" t="s">
        <v>697</v>
      </c>
      <c r="C143" s="67" t="s">
        <v>414</v>
      </c>
      <c r="D143" s="67">
        <f>+VLOOKUP(Tabla2[[#This Row],[NOMBRE DE CLIENTE]],[3]CATALOGO!$A:$B,2,0)</f>
        <v>11030105</v>
      </c>
      <c r="E143" t="s">
        <v>516</v>
      </c>
      <c r="F143" t="s">
        <v>528</v>
      </c>
      <c r="G143" t="s">
        <v>1</v>
      </c>
      <c r="H143" t="s">
        <v>0</v>
      </c>
      <c r="I143" t="s">
        <v>499</v>
      </c>
      <c r="J143" t="s">
        <v>500</v>
      </c>
      <c r="K143">
        <v>39</v>
      </c>
      <c r="L143">
        <v>39</v>
      </c>
      <c r="M143" t="s">
        <v>240</v>
      </c>
      <c r="N143" t="s">
        <v>241</v>
      </c>
      <c r="O143" s="3">
        <v>0</v>
      </c>
      <c r="P143" s="3">
        <v>0</v>
      </c>
      <c r="Q143" s="3">
        <v>1343.12</v>
      </c>
      <c r="R143" s="3">
        <v>174.60559999999998</v>
      </c>
      <c r="S143" s="3">
        <v>0</v>
      </c>
      <c r="T143" s="3">
        <v>0</v>
      </c>
      <c r="U143" s="3">
        <v>1517.73</v>
      </c>
      <c r="V143" t="s">
        <v>1</v>
      </c>
      <c r="W143">
        <v>1504.29</v>
      </c>
    </row>
    <row r="144" spans="1:23" x14ac:dyDescent="0.25">
      <c r="A144" s="67" t="str">
        <f>+Tabla2[[#This Row],[NOMBRE DE CLIENTE]]&amp;Tabla2[[#This Row],[ESPACIO]]&amp;Tabla2[[#This Row],[CCF]]&amp;Tabla2[[#This Row],[ESPACIO]]&amp;Tabla2[[#This Row],[N° DOC]]</f>
        <v>UNILEVER EL SALVADOR SCC S.A DE C.V. CCF 38</v>
      </c>
      <c r="B144" s="67" t="s">
        <v>697</v>
      </c>
      <c r="C144" s="67" t="s">
        <v>414</v>
      </c>
      <c r="D144" s="67">
        <f>+VLOOKUP(Tabla2[[#This Row],[NOMBRE DE CLIENTE]],[3]CATALOGO!$A:$B,2,0)</f>
        <v>11030108</v>
      </c>
      <c r="E144" t="s">
        <v>516</v>
      </c>
      <c r="F144" t="s">
        <v>528</v>
      </c>
      <c r="G144" t="s">
        <v>1</v>
      </c>
      <c r="H144" t="s">
        <v>0</v>
      </c>
      <c r="I144" t="s">
        <v>499</v>
      </c>
      <c r="J144" t="s">
        <v>500</v>
      </c>
      <c r="K144">
        <v>38</v>
      </c>
      <c r="L144">
        <v>38</v>
      </c>
      <c r="M144" t="s">
        <v>262</v>
      </c>
      <c r="N144" t="s">
        <v>263</v>
      </c>
      <c r="O144" s="3">
        <v>0</v>
      </c>
      <c r="P144" s="3">
        <v>0</v>
      </c>
      <c r="Q144" s="3">
        <v>1175.42</v>
      </c>
      <c r="R144" s="3">
        <v>152.80460000000002</v>
      </c>
      <c r="S144" s="3">
        <v>0</v>
      </c>
      <c r="T144" s="3">
        <v>0</v>
      </c>
      <c r="U144" s="3">
        <v>1328.22</v>
      </c>
      <c r="V144" t="s">
        <v>1</v>
      </c>
      <c r="W144">
        <v>1316.47</v>
      </c>
    </row>
    <row r="145" spans="1:23" x14ac:dyDescent="0.25">
      <c r="A145" s="67" t="str">
        <f>+Tabla2[[#This Row],[NOMBRE DE CLIENTE]]&amp;Tabla2[[#This Row],[ESPACIO]]&amp;Tabla2[[#This Row],[CCF]]&amp;Tabla2[[#This Row],[ESPACIO]]&amp;Tabla2[[#This Row],[N° DOC]]</f>
        <v>ESTABLECIMIENTOS ANCALMO, S.A DE C.V CCF 37</v>
      </c>
      <c r="B145" s="67" t="s">
        <v>697</v>
      </c>
      <c r="C145" s="67" t="s">
        <v>414</v>
      </c>
      <c r="D145" s="67">
        <f>+VLOOKUP(Tabla2[[#This Row],[NOMBRE DE CLIENTE]],[3]CATALOGO!$A:$B,2,0)</f>
        <v>11030110</v>
      </c>
      <c r="E145" t="s">
        <v>516</v>
      </c>
      <c r="F145" t="s">
        <v>527</v>
      </c>
      <c r="G145" t="s">
        <v>1</v>
      </c>
      <c r="H145" t="s">
        <v>0</v>
      </c>
      <c r="I145" t="s">
        <v>499</v>
      </c>
      <c r="J145" t="s">
        <v>500</v>
      </c>
      <c r="K145">
        <v>37</v>
      </c>
      <c r="L145">
        <v>37</v>
      </c>
      <c r="M145" t="s">
        <v>282</v>
      </c>
      <c r="N145" t="s">
        <v>283</v>
      </c>
      <c r="O145" s="3">
        <v>0</v>
      </c>
      <c r="P145" s="3">
        <v>0</v>
      </c>
      <c r="Q145" s="3">
        <v>143.63999999999999</v>
      </c>
      <c r="R145" s="3">
        <v>18.673199999999998</v>
      </c>
      <c r="S145" s="3">
        <v>0</v>
      </c>
      <c r="T145" s="3">
        <v>0</v>
      </c>
      <c r="U145" s="3">
        <v>162.31</v>
      </c>
      <c r="V145" t="s">
        <v>1</v>
      </c>
      <c r="W145">
        <v>160.88</v>
      </c>
    </row>
    <row r="146" spans="1:23" x14ac:dyDescent="0.25">
      <c r="A146" s="67" t="str">
        <f>+Tabla2[[#This Row],[NOMBRE DE CLIENTE]]&amp;Tabla2[[#This Row],[ESPACIO]]&amp;Tabla2[[#This Row],[CCF]]&amp;Tabla2[[#This Row],[ESPACIO]]&amp;Tabla2[[#This Row],[N° DOC]]</f>
        <v>LA CONSTANCIA LTDA DE C.V. CCF 36</v>
      </c>
      <c r="B146" s="67" t="s">
        <v>697</v>
      </c>
      <c r="C146" s="67" t="s">
        <v>414</v>
      </c>
      <c r="D146" s="67">
        <f>+VLOOKUP(Tabla2[[#This Row],[NOMBRE DE CLIENTE]],[3]CATALOGO!$A:$B,2,0)</f>
        <v>11030114</v>
      </c>
      <c r="E146" t="s">
        <v>516</v>
      </c>
      <c r="F146" t="s">
        <v>526</v>
      </c>
      <c r="G146" t="s">
        <v>1</v>
      </c>
      <c r="H146" t="s">
        <v>0</v>
      </c>
      <c r="I146" t="s">
        <v>499</v>
      </c>
      <c r="J146" t="s">
        <v>500</v>
      </c>
      <c r="K146">
        <v>36</v>
      </c>
      <c r="L146">
        <v>36</v>
      </c>
      <c r="M146" t="s">
        <v>250</v>
      </c>
      <c r="N146" t="s">
        <v>251</v>
      </c>
      <c r="O146" s="3">
        <v>0</v>
      </c>
      <c r="P146" s="3">
        <v>0</v>
      </c>
      <c r="Q146" s="3">
        <v>619.01</v>
      </c>
      <c r="R146" s="3">
        <v>80.471299999999999</v>
      </c>
      <c r="S146" s="3">
        <v>0</v>
      </c>
      <c r="T146" s="3">
        <v>0</v>
      </c>
      <c r="U146" s="71">
        <v>699.48</v>
      </c>
      <c r="V146" t="s">
        <v>1</v>
      </c>
      <c r="W146">
        <v>693.29</v>
      </c>
    </row>
    <row r="147" spans="1:23" x14ac:dyDescent="0.25">
      <c r="A147" s="67" t="str">
        <f>+Tabla2[[#This Row],[NOMBRE DE CLIENTE]]&amp;Tabla2[[#This Row],[ESPACIO]]&amp;Tabla2[[#This Row],[CCF]]&amp;Tabla2[[#This Row],[ESPACIO]]&amp;Tabla2[[#This Row],[N° DOC]]</f>
        <v>GRANJA EL ROBLE S.A DE C.V. CCF 35</v>
      </c>
      <c r="B147" s="67" t="s">
        <v>697</v>
      </c>
      <c r="C147" s="67" t="s">
        <v>414</v>
      </c>
      <c r="D147" s="67">
        <f>+VLOOKUP(Tabla2[[#This Row],[NOMBRE DE CLIENTE]],[3]CATALOGO!$A:$B,2,0)</f>
        <v>11030143</v>
      </c>
      <c r="E147" t="s">
        <v>516</v>
      </c>
      <c r="F147" t="s">
        <v>525</v>
      </c>
      <c r="G147" t="s">
        <v>1</v>
      </c>
      <c r="H147" t="s">
        <v>0</v>
      </c>
      <c r="I147" t="s">
        <v>499</v>
      </c>
      <c r="J147" t="s">
        <v>500</v>
      </c>
      <c r="K147">
        <v>35</v>
      </c>
      <c r="L147">
        <v>35</v>
      </c>
      <c r="M147" t="s">
        <v>286</v>
      </c>
      <c r="N147" t="s">
        <v>287</v>
      </c>
      <c r="O147" s="3">
        <v>0</v>
      </c>
      <c r="P147" s="3">
        <v>0</v>
      </c>
      <c r="Q147" s="3">
        <v>281.42</v>
      </c>
      <c r="R147" s="3">
        <v>36.584600000000002</v>
      </c>
      <c r="S147" s="3">
        <v>0</v>
      </c>
      <c r="T147" s="3">
        <v>0</v>
      </c>
      <c r="U147" s="71">
        <v>318</v>
      </c>
      <c r="V147" t="s">
        <v>1</v>
      </c>
      <c r="W147">
        <v>315.19</v>
      </c>
    </row>
    <row r="148" spans="1:23" x14ac:dyDescent="0.25">
      <c r="A148" s="67" t="str">
        <f>+Tabla2[[#This Row],[NOMBRE DE CLIENTE]]&amp;Tabla2[[#This Row],[ESPACIO]]&amp;Tabla2[[#This Row],[CCF]]&amp;Tabla2[[#This Row],[ESPACIO]]&amp;Tabla2[[#This Row],[N° DOC]]</f>
        <v>ANULADO CCF 34</v>
      </c>
      <c r="B148" s="67" t="s">
        <v>697</v>
      </c>
      <c r="C148" s="67" t="s">
        <v>414</v>
      </c>
      <c r="D148" s="67" t="e">
        <f>+VLOOKUP(Tabla2[[#This Row],[NOMBRE DE CLIENTE]],[3]CATALOGO!$A:$B,2,0)</f>
        <v>#N/A</v>
      </c>
      <c r="E148" t="s">
        <v>516</v>
      </c>
      <c r="F148" t="s">
        <v>525</v>
      </c>
      <c r="G148" t="s">
        <v>1</v>
      </c>
      <c r="H148" t="s">
        <v>0</v>
      </c>
      <c r="I148" t="s">
        <v>499</v>
      </c>
      <c r="J148" t="s">
        <v>500</v>
      </c>
      <c r="K148">
        <v>34</v>
      </c>
      <c r="L148">
        <v>34</v>
      </c>
      <c r="M148" t="s">
        <v>186</v>
      </c>
      <c r="N148" t="s">
        <v>30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71">
        <v>0</v>
      </c>
      <c r="V148" t="s">
        <v>1</v>
      </c>
      <c r="W148">
        <v>0</v>
      </c>
    </row>
    <row r="149" spans="1:23" x14ac:dyDescent="0.25">
      <c r="A149" s="67" t="str">
        <f>+Tabla2[[#This Row],[NOMBRE DE CLIENTE]]&amp;Tabla2[[#This Row],[ESPACIO]]&amp;Tabla2[[#This Row],[CCF]]&amp;Tabla2[[#This Row],[ESPACIO]]&amp;Tabla2[[#This Row],[N° DOC]]</f>
        <v>OPERADORA DEL SUR, S. A. DE C.V. CCF 33</v>
      </c>
      <c r="B149" s="67" t="s">
        <v>697</v>
      </c>
      <c r="C149" s="67" t="s">
        <v>414</v>
      </c>
      <c r="D149" s="67">
        <f>+VLOOKUP(Tabla2[[#This Row],[NOMBRE DE CLIENTE]],[3]CATALOGO!$A:$B,2,0)</f>
        <v>11030105</v>
      </c>
      <c r="E149" t="s">
        <v>516</v>
      </c>
      <c r="F149" t="s">
        <v>525</v>
      </c>
      <c r="G149" t="s">
        <v>1</v>
      </c>
      <c r="H149" t="s">
        <v>0</v>
      </c>
      <c r="I149" t="s">
        <v>499</v>
      </c>
      <c r="J149" t="s">
        <v>500</v>
      </c>
      <c r="K149">
        <v>33</v>
      </c>
      <c r="L149">
        <v>33</v>
      </c>
      <c r="M149" t="s">
        <v>240</v>
      </c>
      <c r="N149" t="s">
        <v>241</v>
      </c>
      <c r="O149" s="3">
        <v>0</v>
      </c>
      <c r="P149" s="3">
        <v>0</v>
      </c>
      <c r="Q149" s="3">
        <v>356.26</v>
      </c>
      <c r="R149" s="3">
        <v>46.313800000000001</v>
      </c>
      <c r="S149" s="3">
        <v>0</v>
      </c>
      <c r="T149" s="3">
        <v>0</v>
      </c>
      <c r="U149" s="71">
        <v>402.57</v>
      </c>
      <c r="V149" t="s">
        <v>1</v>
      </c>
      <c r="W149">
        <v>399.01</v>
      </c>
    </row>
    <row r="150" spans="1:23" x14ac:dyDescent="0.25">
      <c r="A150" s="67" t="str">
        <f>+Tabla2[[#This Row],[NOMBRE DE CLIENTE]]&amp;Tabla2[[#This Row],[ESPACIO]]&amp;Tabla2[[#This Row],[CCF]]&amp;Tabla2[[#This Row],[ESPACIO]]&amp;Tabla2[[#This Row],[N° DOC]]</f>
        <v>OPERADORA DEL SUR, S. A. DE C.V. CCF 32</v>
      </c>
      <c r="B150" s="67" t="s">
        <v>697</v>
      </c>
      <c r="C150" s="67" t="s">
        <v>414</v>
      </c>
      <c r="D150" s="67">
        <f>+VLOOKUP(Tabla2[[#This Row],[NOMBRE DE CLIENTE]],[3]CATALOGO!$A:$B,2,0)</f>
        <v>11030105</v>
      </c>
      <c r="E150" t="s">
        <v>516</v>
      </c>
      <c r="F150" t="s">
        <v>525</v>
      </c>
      <c r="G150" t="s">
        <v>1</v>
      </c>
      <c r="H150" t="s">
        <v>0</v>
      </c>
      <c r="I150" t="s">
        <v>499</v>
      </c>
      <c r="J150" t="s">
        <v>500</v>
      </c>
      <c r="K150">
        <v>32</v>
      </c>
      <c r="L150">
        <v>32</v>
      </c>
      <c r="M150" t="s">
        <v>240</v>
      </c>
      <c r="N150" t="s">
        <v>241</v>
      </c>
      <c r="O150" s="3">
        <v>0</v>
      </c>
      <c r="P150" s="3">
        <v>0</v>
      </c>
      <c r="Q150" s="3">
        <v>680.32</v>
      </c>
      <c r="R150" s="3">
        <v>88.441600000000008</v>
      </c>
      <c r="S150" s="3">
        <v>0</v>
      </c>
      <c r="T150" s="3">
        <v>0</v>
      </c>
      <c r="U150" s="71">
        <v>768.76</v>
      </c>
      <c r="V150" t="s">
        <v>1</v>
      </c>
      <c r="W150">
        <v>761.96</v>
      </c>
    </row>
    <row r="151" spans="1:23" x14ac:dyDescent="0.25">
      <c r="A151" s="67" t="str">
        <f>+Tabla2[[#This Row],[NOMBRE DE CLIENTE]]&amp;Tabla2[[#This Row],[ESPACIO]]&amp;Tabla2[[#This Row],[CCF]]&amp;Tabla2[[#This Row],[ESPACIO]]&amp;Tabla2[[#This Row],[N° DOC]]</f>
        <v>OPERADORA DEL SUR, S. A. DE C.V. CCF 31</v>
      </c>
      <c r="B151" s="67" t="s">
        <v>697</v>
      </c>
      <c r="C151" s="67" t="s">
        <v>414</v>
      </c>
      <c r="D151" s="67">
        <f>+VLOOKUP(Tabla2[[#This Row],[NOMBRE DE CLIENTE]],[3]CATALOGO!$A:$B,2,0)</f>
        <v>11030105</v>
      </c>
      <c r="E151" t="s">
        <v>516</v>
      </c>
      <c r="F151" t="s">
        <v>525</v>
      </c>
      <c r="G151" t="s">
        <v>1</v>
      </c>
      <c r="H151" t="s">
        <v>0</v>
      </c>
      <c r="I151" t="s">
        <v>499</v>
      </c>
      <c r="J151" t="s">
        <v>500</v>
      </c>
      <c r="K151">
        <v>31</v>
      </c>
      <c r="L151">
        <v>31</v>
      </c>
      <c r="M151" t="s">
        <v>240</v>
      </c>
      <c r="N151" t="s">
        <v>241</v>
      </c>
      <c r="O151" s="3">
        <v>0</v>
      </c>
      <c r="P151" s="3">
        <v>0</v>
      </c>
      <c r="Q151" s="3">
        <v>281.27999999999997</v>
      </c>
      <c r="R151" s="3">
        <v>36.566399999999994</v>
      </c>
      <c r="S151" s="3">
        <v>0</v>
      </c>
      <c r="T151" s="3">
        <v>0</v>
      </c>
      <c r="U151" s="71">
        <v>317.85000000000002</v>
      </c>
      <c r="V151" t="s">
        <v>1</v>
      </c>
      <c r="W151">
        <v>315.02999999999997</v>
      </c>
    </row>
    <row r="152" spans="1:23" x14ac:dyDescent="0.25">
      <c r="A152" s="67" t="str">
        <f>+Tabla2[[#This Row],[NOMBRE DE CLIENTE]]&amp;Tabla2[[#This Row],[ESPACIO]]&amp;Tabla2[[#This Row],[CCF]]&amp;Tabla2[[#This Row],[ESPACIO]]&amp;Tabla2[[#This Row],[N° DOC]]</f>
        <v>OPERADORA DEL SUR, S. A. DE C.V. CCF 30</v>
      </c>
      <c r="B152" s="67" t="s">
        <v>697</v>
      </c>
      <c r="C152" s="67" t="s">
        <v>414</v>
      </c>
      <c r="D152" s="67">
        <f>+VLOOKUP(Tabla2[[#This Row],[NOMBRE DE CLIENTE]],[3]CATALOGO!$A:$B,2,0)</f>
        <v>11030105</v>
      </c>
      <c r="E152" t="s">
        <v>516</v>
      </c>
      <c r="F152" t="s">
        <v>525</v>
      </c>
      <c r="G152" t="s">
        <v>1</v>
      </c>
      <c r="H152" t="s">
        <v>0</v>
      </c>
      <c r="I152" t="s">
        <v>499</v>
      </c>
      <c r="J152" t="s">
        <v>500</v>
      </c>
      <c r="K152">
        <v>30</v>
      </c>
      <c r="L152">
        <v>30</v>
      </c>
      <c r="M152" t="s">
        <v>240</v>
      </c>
      <c r="N152" t="s">
        <v>241</v>
      </c>
      <c r="O152" s="3">
        <v>0</v>
      </c>
      <c r="P152" s="3">
        <v>0</v>
      </c>
      <c r="Q152" s="3">
        <v>500</v>
      </c>
      <c r="R152" s="3">
        <v>65</v>
      </c>
      <c r="S152" s="3">
        <v>0</v>
      </c>
      <c r="T152" s="3">
        <v>0</v>
      </c>
      <c r="U152" s="71">
        <v>565</v>
      </c>
      <c r="V152" t="s">
        <v>1</v>
      </c>
      <c r="W152">
        <v>560</v>
      </c>
    </row>
    <row r="153" spans="1:23" x14ac:dyDescent="0.25">
      <c r="A153" s="67" t="str">
        <f>+Tabla2[[#This Row],[NOMBRE DE CLIENTE]]&amp;Tabla2[[#This Row],[ESPACIO]]&amp;Tabla2[[#This Row],[CCF]]&amp;Tabla2[[#This Row],[ESPACIO]]&amp;Tabla2[[#This Row],[N° DOC]]</f>
        <v>OPERADORA DEL SUR, S. A. DE C.V. CCF 29</v>
      </c>
      <c r="B153" s="67" t="s">
        <v>697</v>
      </c>
      <c r="C153" s="67" t="s">
        <v>414</v>
      </c>
      <c r="D153" s="67">
        <f>+VLOOKUP(Tabla2[[#This Row],[NOMBRE DE CLIENTE]],[3]CATALOGO!$A:$B,2,0)</f>
        <v>11030105</v>
      </c>
      <c r="E153" t="s">
        <v>516</v>
      </c>
      <c r="F153" t="s">
        <v>525</v>
      </c>
      <c r="G153" t="s">
        <v>1</v>
      </c>
      <c r="H153" t="s">
        <v>0</v>
      </c>
      <c r="I153" t="s">
        <v>499</v>
      </c>
      <c r="J153" t="s">
        <v>500</v>
      </c>
      <c r="K153">
        <v>29</v>
      </c>
      <c r="L153">
        <v>29</v>
      </c>
      <c r="M153" t="s">
        <v>240</v>
      </c>
      <c r="N153" t="s">
        <v>241</v>
      </c>
      <c r="O153" s="3">
        <v>0</v>
      </c>
      <c r="P153" s="3">
        <v>0</v>
      </c>
      <c r="Q153" s="3">
        <v>2147.04</v>
      </c>
      <c r="R153" s="3">
        <v>279.11520000000002</v>
      </c>
      <c r="S153" s="3">
        <v>0</v>
      </c>
      <c r="T153" s="3">
        <v>0</v>
      </c>
      <c r="U153" s="71">
        <v>2426.16</v>
      </c>
      <c r="V153" t="s">
        <v>1</v>
      </c>
      <c r="W153">
        <v>2404.6799999999998</v>
      </c>
    </row>
    <row r="154" spans="1:23" x14ac:dyDescent="0.25">
      <c r="A154" s="67" t="str">
        <f>+Tabla2[[#This Row],[NOMBRE DE CLIENTE]]&amp;Tabla2[[#This Row],[ESPACIO]]&amp;Tabla2[[#This Row],[CCF]]&amp;Tabla2[[#This Row],[ESPACIO]]&amp;Tabla2[[#This Row],[N° DOC]]</f>
        <v>OPERADORA DEL SUR, S. A. DE C.V. CCF 28</v>
      </c>
      <c r="B154" s="67" t="s">
        <v>697</v>
      </c>
      <c r="C154" s="67" t="s">
        <v>414</v>
      </c>
      <c r="D154" s="67">
        <f>+VLOOKUP(Tabla2[[#This Row],[NOMBRE DE CLIENTE]],[3]CATALOGO!$A:$B,2,0)</f>
        <v>11030105</v>
      </c>
      <c r="E154" t="s">
        <v>516</v>
      </c>
      <c r="F154" t="s">
        <v>525</v>
      </c>
      <c r="G154" t="s">
        <v>1</v>
      </c>
      <c r="H154" t="s">
        <v>0</v>
      </c>
      <c r="I154" t="s">
        <v>499</v>
      </c>
      <c r="J154" t="s">
        <v>500</v>
      </c>
      <c r="K154">
        <v>28</v>
      </c>
      <c r="L154">
        <v>28</v>
      </c>
      <c r="M154" t="s">
        <v>240</v>
      </c>
      <c r="N154" t="s">
        <v>241</v>
      </c>
      <c r="O154" s="3">
        <v>0</v>
      </c>
      <c r="P154" s="3">
        <v>0</v>
      </c>
      <c r="Q154" s="3">
        <v>550</v>
      </c>
      <c r="R154" s="3">
        <v>71.5</v>
      </c>
      <c r="S154" s="3">
        <v>0</v>
      </c>
      <c r="T154" s="3">
        <v>0</v>
      </c>
      <c r="U154" s="71">
        <v>621.5</v>
      </c>
      <c r="V154" t="s">
        <v>1</v>
      </c>
      <c r="W154">
        <v>616</v>
      </c>
    </row>
    <row r="155" spans="1:23" x14ac:dyDescent="0.25">
      <c r="A155" s="67" t="str">
        <f>+Tabla2[[#This Row],[NOMBRE DE CLIENTE]]&amp;Tabla2[[#This Row],[ESPACIO]]&amp;Tabla2[[#This Row],[CCF]]&amp;Tabla2[[#This Row],[ESPACIO]]&amp;Tabla2[[#This Row],[N° DOC]]</f>
        <v>ANULADO CCF 27</v>
      </c>
      <c r="B155" s="67" t="s">
        <v>697</v>
      </c>
      <c r="C155" s="67" t="s">
        <v>414</v>
      </c>
      <c r="D155" s="67" t="e">
        <f>+VLOOKUP(Tabla2[[#This Row],[NOMBRE DE CLIENTE]],[3]CATALOGO!$A:$B,2,0)</f>
        <v>#N/A</v>
      </c>
      <c r="E155" t="s">
        <v>516</v>
      </c>
      <c r="F155" t="s">
        <v>524</v>
      </c>
      <c r="G155" t="s">
        <v>1</v>
      </c>
      <c r="H155" t="s">
        <v>0</v>
      </c>
      <c r="I155" t="s">
        <v>499</v>
      </c>
      <c r="J155" t="s">
        <v>500</v>
      </c>
      <c r="K155">
        <v>27</v>
      </c>
      <c r="L155">
        <v>27</v>
      </c>
      <c r="M155" t="s">
        <v>186</v>
      </c>
      <c r="N155" t="s">
        <v>30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71">
        <v>0</v>
      </c>
      <c r="V155" t="s">
        <v>1</v>
      </c>
      <c r="W155">
        <v>0</v>
      </c>
    </row>
    <row r="156" spans="1:23" x14ac:dyDescent="0.25">
      <c r="A156" s="67" t="str">
        <f>+Tabla2[[#This Row],[NOMBRE DE CLIENTE]]&amp;Tabla2[[#This Row],[ESPACIO]]&amp;Tabla2[[#This Row],[CCF]]&amp;Tabla2[[#This Row],[ESPACIO]]&amp;Tabla2[[#This Row],[N° DOC]]</f>
        <v>CAEX LOGISTICS S.A DE C.V. CCF 26</v>
      </c>
      <c r="B156" s="67" t="s">
        <v>697</v>
      </c>
      <c r="C156" s="67" t="s">
        <v>414</v>
      </c>
      <c r="D156" s="67">
        <f>+VLOOKUP(Tabla2[[#This Row],[NOMBRE DE CLIENTE]],[3]CATALOGO!$A:$B,2,0)</f>
        <v>11030145</v>
      </c>
      <c r="E156" t="s">
        <v>516</v>
      </c>
      <c r="F156" t="s">
        <v>521</v>
      </c>
      <c r="G156" t="s">
        <v>1</v>
      </c>
      <c r="H156" t="s">
        <v>0</v>
      </c>
      <c r="I156" t="s">
        <v>499</v>
      </c>
      <c r="J156" t="s">
        <v>500</v>
      </c>
      <c r="K156">
        <v>26</v>
      </c>
      <c r="L156">
        <v>26</v>
      </c>
      <c r="M156" t="s">
        <v>522</v>
      </c>
      <c r="N156" t="s">
        <v>523</v>
      </c>
      <c r="O156" s="3">
        <v>0</v>
      </c>
      <c r="P156" s="3">
        <v>0</v>
      </c>
      <c r="Q156" s="3">
        <v>418.08</v>
      </c>
      <c r="R156" s="3">
        <v>54.3504</v>
      </c>
      <c r="S156" s="3">
        <v>0</v>
      </c>
      <c r="T156" s="3">
        <v>0</v>
      </c>
      <c r="U156" s="71">
        <v>472.43</v>
      </c>
      <c r="V156" t="s">
        <v>1</v>
      </c>
      <c r="W156">
        <v>468.25</v>
      </c>
    </row>
    <row r="157" spans="1:23" x14ac:dyDescent="0.25">
      <c r="A157" s="67" t="str">
        <f>+Tabla2[[#This Row],[NOMBRE DE CLIENTE]]&amp;Tabla2[[#This Row],[ESPACIO]]&amp;Tabla2[[#This Row],[CCF]]&amp;Tabla2[[#This Row],[ESPACIO]]&amp;Tabla2[[#This Row],[N° DOC]]</f>
        <v>ANULADO CCF 25</v>
      </c>
      <c r="B157" s="67" t="s">
        <v>697</v>
      </c>
      <c r="C157" s="67" t="s">
        <v>414</v>
      </c>
      <c r="D157" s="67" t="e">
        <f>+VLOOKUP(Tabla2[[#This Row],[NOMBRE DE CLIENTE]],[3]CATALOGO!$A:$B,2,0)</f>
        <v>#N/A</v>
      </c>
      <c r="E157" t="s">
        <v>516</v>
      </c>
      <c r="F157" t="s">
        <v>521</v>
      </c>
      <c r="G157" t="s">
        <v>1</v>
      </c>
      <c r="H157" t="s">
        <v>0</v>
      </c>
      <c r="I157" t="s">
        <v>499</v>
      </c>
      <c r="J157" t="s">
        <v>500</v>
      </c>
      <c r="K157">
        <v>25</v>
      </c>
      <c r="L157">
        <v>25</v>
      </c>
      <c r="M157" t="s">
        <v>186</v>
      </c>
      <c r="N157" t="s">
        <v>30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71">
        <v>0</v>
      </c>
      <c r="V157" t="s">
        <v>1</v>
      </c>
      <c r="W157">
        <v>0</v>
      </c>
    </row>
    <row r="158" spans="1:23" x14ac:dyDescent="0.25">
      <c r="A158" s="67" t="str">
        <f>+Tabla2[[#This Row],[NOMBRE DE CLIENTE]]&amp;Tabla2[[#This Row],[ESPACIO]]&amp;Tabla2[[#This Row],[CCF]]&amp;Tabla2[[#This Row],[ESPACIO]]&amp;Tabla2[[#This Row],[N° DOC]]</f>
        <v>ENMANUEL S.A DE C.V. CCF 24</v>
      </c>
      <c r="B158" s="67" t="s">
        <v>697</v>
      </c>
      <c r="C158" s="67" t="s">
        <v>414</v>
      </c>
      <c r="D158" s="67">
        <f>+VLOOKUP(Tabla2[[#This Row],[NOMBRE DE CLIENTE]],[3]CATALOGO!$A:$B,2,0)</f>
        <v>11030127</v>
      </c>
      <c r="E158" t="s">
        <v>516</v>
      </c>
      <c r="F158" t="s">
        <v>521</v>
      </c>
      <c r="G158" t="s">
        <v>1</v>
      </c>
      <c r="H158" t="s">
        <v>0</v>
      </c>
      <c r="I158" t="s">
        <v>499</v>
      </c>
      <c r="J158" t="s">
        <v>500</v>
      </c>
      <c r="K158">
        <v>24</v>
      </c>
      <c r="L158">
        <v>24</v>
      </c>
      <c r="M158" t="s">
        <v>254</v>
      </c>
      <c r="N158" t="s">
        <v>255</v>
      </c>
      <c r="O158" s="3">
        <v>0</v>
      </c>
      <c r="P158" s="3">
        <v>0</v>
      </c>
      <c r="Q158" s="3">
        <v>375</v>
      </c>
      <c r="R158" s="3">
        <v>48.75</v>
      </c>
      <c r="S158" s="3">
        <v>0</v>
      </c>
      <c r="T158" s="3">
        <v>0</v>
      </c>
      <c r="U158" s="71">
        <v>423.75</v>
      </c>
      <c r="V158" t="s">
        <v>1</v>
      </c>
      <c r="W158">
        <v>420</v>
      </c>
    </row>
    <row r="159" spans="1:23" x14ac:dyDescent="0.25">
      <c r="A159" s="67" t="str">
        <f>+Tabla2[[#This Row],[NOMBRE DE CLIENTE]]&amp;Tabla2[[#This Row],[ESPACIO]]&amp;Tabla2[[#This Row],[CCF]]&amp;Tabla2[[#This Row],[ESPACIO]]&amp;Tabla2[[#This Row],[N° DOC]]</f>
        <v>POLYBAG S.A DE C.V. CCF 23</v>
      </c>
      <c r="B159" s="67" t="s">
        <v>697</v>
      </c>
      <c r="C159" s="67" t="s">
        <v>414</v>
      </c>
      <c r="D159" s="67">
        <f>+VLOOKUP(Tabla2[[#This Row],[NOMBRE DE CLIENTE]],[3]CATALOGO!$A:$B,2,0)</f>
        <v>11030124</v>
      </c>
      <c r="E159" t="s">
        <v>516</v>
      </c>
      <c r="F159" t="s">
        <v>521</v>
      </c>
      <c r="G159" t="s">
        <v>1</v>
      </c>
      <c r="H159" t="s">
        <v>0</v>
      </c>
      <c r="I159" t="s">
        <v>499</v>
      </c>
      <c r="J159" t="s">
        <v>500</v>
      </c>
      <c r="K159">
        <v>23</v>
      </c>
      <c r="L159">
        <v>23</v>
      </c>
      <c r="M159" t="s">
        <v>256</v>
      </c>
      <c r="N159" t="s">
        <v>257</v>
      </c>
      <c r="O159" s="3">
        <v>0</v>
      </c>
      <c r="P159" s="3">
        <v>0</v>
      </c>
      <c r="Q159" s="3">
        <v>315</v>
      </c>
      <c r="R159" s="3">
        <v>40.950000000000003</v>
      </c>
      <c r="S159" s="3">
        <v>0</v>
      </c>
      <c r="T159" s="3">
        <v>0</v>
      </c>
      <c r="U159" s="71">
        <v>355.95</v>
      </c>
      <c r="V159" t="s">
        <v>1</v>
      </c>
      <c r="W159">
        <v>352.8</v>
      </c>
    </row>
    <row r="160" spans="1:23" x14ac:dyDescent="0.25">
      <c r="A160" s="67" t="str">
        <f>+Tabla2[[#This Row],[NOMBRE DE CLIENTE]]&amp;Tabla2[[#This Row],[ESPACIO]]&amp;Tabla2[[#This Row],[CCF]]&amp;Tabla2[[#This Row],[ESPACIO]]&amp;Tabla2[[#This Row],[N° DOC]]</f>
        <v>NEGOCIOS CAMYRAM S.A DE C.V CCF 22</v>
      </c>
      <c r="B160" s="67" t="s">
        <v>697</v>
      </c>
      <c r="C160" s="67" t="s">
        <v>414</v>
      </c>
      <c r="D160" s="67">
        <f>+VLOOKUP(Tabla2[[#This Row],[NOMBRE DE CLIENTE]],[3]CATALOGO!$A:$B,2,0)</f>
        <v>11030102</v>
      </c>
      <c r="E160" t="s">
        <v>516</v>
      </c>
      <c r="F160" t="s">
        <v>520</v>
      </c>
      <c r="G160" t="s">
        <v>1</v>
      </c>
      <c r="H160" t="s">
        <v>0</v>
      </c>
      <c r="I160" t="s">
        <v>499</v>
      </c>
      <c r="J160" t="s">
        <v>500</v>
      </c>
      <c r="K160">
        <v>22</v>
      </c>
      <c r="L160">
        <v>22</v>
      </c>
      <c r="M160" t="s">
        <v>246</v>
      </c>
      <c r="N160" t="s">
        <v>247</v>
      </c>
      <c r="O160" s="3">
        <v>0</v>
      </c>
      <c r="P160" s="3">
        <v>0</v>
      </c>
      <c r="Q160" s="3">
        <v>360.26</v>
      </c>
      <c r="R160" s="3">
        <v>46.833800000000004</v>
      </c>
      <c r="S160" s="3">
        <v>0</v>
      </c>
      <c r="T160" s="3">
        <v>0</v>
      </c>
      <c r="U160" s="71">
        <v>407.09</v>
      </c>
      <c r="V160" t="s">
        <v>1</v>
      </c>
      <c r="W160">
        <v>403.49</v>
      </c>
    </row>
    <row r="161" spans="1:23" x14ac:dyDescent="0.25">
      <c r="A161" s="67" t="str">
        <f>+Tabla2[[#This Row],[NOMBRE DE CLIENTE]]&amp;Tabla2[[#This Row],[ESPACIO]]&amp;Tabla2[[#This Row],[CCF]]&amp;Tabla2[[#This Row],[ESPACIO]]&amp;Tabla2[[#This Row],[N° DOC]]</f>
        <v>ANULADO CCF 21</v>
      </c>
      <c r="B161" s="67" t="s">
        <v>697</v>
      </c>
      <c r="C161" s="67" t="s">
        <v>414</v>
      </c>
      <c r="D161" s="67" t="e">
        <f>+VLOOKUP(Tabla2[[#This Row],[NOMBRE DE CLIENTE]],[3]CATALOGO!$A:$B,2,0)</f>
        <v>#N/A</v>
      </c>
      <c r="E161" t="s">
        <v>516</v>
      </c>
      <c r="F161" t="s">
        <v>520</v>
      </c>
      <c r="G161" t="s">
        <v>1</v>
      </c>
      <c r="H161" t="s">
        <v>0</v>
      </c>
      <c r="I161" t="s">
        <v>499</v>
      </c>
      <c r="J161" t="s">
        <v>500</v>
      </c>
      <c r="K161">
        <v>21</v>
      </c>
      <c r="L161">
        <v>21</v>
      </c>
      <c r="M161" t="s">
        <v>186</v>
      </c>
      <c r="N161" t="s">
        <v>30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71">
        <v>0</v>
      </c>
      <c r="V161" t="s">
        <v>1</v>
      </c>
      <c r="W161">
        <v>0</v>
      </c>
    </row>
    <row r="162" spans="1:23" x14ac:dyDescent="0.25">
      <c r="A162" s="67" t="str">
        <f>+Tabla2[[#This Row],[NOMBRE DE CLIENTE]]&amp;Tabla2[[#This Row],[ESPACIO]]&amp;Tabla2[[#This Row],[CCF]]&amp;Tabla2[[#This Row],[ESPACIO]]&amp;Tabla2[[#This Row],[N° DOC]]</f>
        <v>SUPER REPUESTOS EL SALVADOR S.A DE C.V. CCF 20</v>
      </c>
      <c r="B162" s="67" t="s">
        <v>697</v>
      </c>
      <c r="C162" s="67" t="s">
        <v>414</v>
      </c>
      <c r="D162" s="67">
        <f>+VLOOKUP(Tabla2[[#This Row],[NOMBRE DE CLIENTE]],[3]CATALOGO!$A:$B,2,0)</f>
        <v>11030115</v>
      </c>
      <c r="E162" t="s">
        <v>516</v>
      </c>
      <c r="F162" t="s">
        <v>519</v>
      </c>
      <c r="G162" t="s">
        <v>1</v>
      </c>
      <c r="H162" t="s">
        <v>0</v>
      </c>
      <c r="I162" t="s">
        <v>499</v>
      </c>
      <c r="J162" t="s">
        <v>500</v>
      </c>
      <c r="K162">
        <v>20</v>
      </c>
      <c r="L162">
        <v>20</v>
      </c>
      <c r="M162" t="s">
        <v>264</v>
      </c>
      <c r="N162" t="s">
        <v>265</v>
      </c>
      <c r="O162" s="3">
        <v>0</v>
      </c>
      <c r="P162" s="3">
        <v>0</v>
      </c>
      <c r="Q162" s="3">
        <v>150</v>
      </c>
      <c r="R162" s="3">
        <v>19.5</v>
      </c>
      <c r="S162" s="3">
        <v>0</v>
      </c>
      <c r="T162" s="3">
        <v>0</v>
      </c>
      <c r="U162" s="71">
        <v>169.5</v>
      </c>
      <c r="V162" t="s">
        <v>1</v>
      </c>
      <c r="W162">
        <v>168</v>
      </c>
    </row>
    <row r="163" spans="1:23" x14ac:dyDescent="0.25">
      <c r="A163" s="67" t="str">
        <f>+Tabla2[[#This Row],[NOMBRE DE CLIENTE]]&amp;Tabla2[[#This Row],[ESPACIO]]&amp;Tabla2[[#This Row],[CCF]]&amp;Tabla2[[#This Row],[ESPACIO]]&amp;Tabla2[[#This Row],[N° DOC]]</f>
        <v>PROGURSA S.A DE C.V. CCF 19</v>
      </c>
      <c r="B163" s="67" t="s">
        <v>697</v>
      </c>
      <c r="C163" s="67" t="s">
        <v>414</v>
      </c>
      <c r="D163" s="67">
        <f>+VLOOKUP(Tabla2[[#This Row],[NOMBRE DE CLIENTE]],[3]CATALOGO!$A:$B,2,0)</f>
        <v>11030137</v>
      </c>
      <c r="E163" t="s">
        <v>516</v>
      </c>
      <c r="F163" t="s">
        <v>519</v>
      </c>
      <c r="G163" t="s">
        <v>1</v>
      </c>
      <c r="H163" t="s">
        <v>0</v>
      </c>
      <c r="I163" t="s">
        <v>499</v>
      </c>
      <c r="J163" t="s">
        <v>500</v>
      </c>
      <c r="K163">
        <v>19</v>
      </c>
      <c r="L163">
        <v>19</v>
      </c>
      <c r="M163" t="s">
        <v>266</v>
      </c>
      <c r="N163" t="s">
        <v>267</v>
      </c>
      <c r="O163" s="3">
        <v>0</v>
      </c>
      <c r="P163" s="3">
        <v>0</v>
      </c>
      <c r="Q163" s="3">
        <v>150</v>
      </c>
      <c r="R163" s="3">
        <v>19.5</v>
      </c>
      <c r="S163" s="3">
        <v>0</v>
      </c>
      <c r="T163" s="3">
        <v>0</v>
      </c>
      <c r="U163" s="71">
        <v>169.5</v>
      </c>
      <c r="V163" t="s">
        <v>1</v>
      </c>
      <c r="W163">
        <v>168</v>
      </c>
    </row>
    <row r="164" spans="1:23" x14ac:dyDescent="0.25">
      <c r="A164" s="67" t="str">
        <f>+Tabla2[[#This Row],[NOMBRE DE CLIENTE]]&amp;Tabla2[[#This Row],[ESPACIO]]&amp;Tabla2[[#This Row],[CCF]]&amp;Tabla2[[#This Row],[ESPACIO]]&amp;Tabla2[[#This Row],[N° DOC]]</f>
        <v>OPERADORA DEL SUR, S. A. DE C.V. CCF 18</v>
      </c>
      <c r="B164" s="67" t="s">
        <v>697</v>
      </c>
      <c r="C164" s="67" t="s">
        <v>414</v>
      </c>
      <c r="D164" s="67">
        <f>+VLOOKUP(Tabla2[[#This Row],[NOMBRE DE CLIENTE]],[3]CATALOGO!$A:$B,2,0)</f>
        <v>11030105</v>
      </c>
      <c r="E164" t="s">
        <v>516</v>
      </c>
      <c r="F164" t="s">
        <v>519</v>
      </c>
      <c r="G164" t="s">
        <v>1</v>
      </c>
      <c r="H164" t="s">
        <v>0</v>
      </c>
      <c r="I164" t="s">
        <v>499</v>
      </c>
      <c r="J164" t="s">
        <v>500</v>
      </c>
      <c r="K164">
        <v>18</v>
      </c>
      <c r="L164">
        <v>18</v>
      </c>
      <c r="M164" t="s">
        <v>240</v>
      </c>
      <c r="N164" t="s">
        <v>241</v>
      </c>
      <c r="O164" s="3">
        <v>0</v>
      </c>
      <c r="P164" s="3">
        <v>0</v>
      </c>
      <c r="Q164" s="3">
        <v>728.19</v>
      </c>
      <c r="R164" s="3">
        <v>94.664700000000011</v>
      </c>
      <c r="S164" s="3">
        <v>0</v>
      </c>
      <c r="T164" s="3">
        <v>0</v>
      </c>
      <c r="U164" s="71">
        <v>822.85</v>
      </c>
      <c r="V164" t="s">
        <v>1</v>
      </c>
      <c r="W164">
        <v>815.57</v>
      </c>
    </row>
    <row r="165" spans="1:23" x14ac:dyDescent="0.25">
      <c r="A165" s="67" t="str">
        <f>+Tabla2[[#This Row],[NOMBRE DE CLIENTE]]&amp;Tabla2[[#This Row],[ESPACIO]]&amp;Tabla2[[#This Row],[CCF]]&amp;Tabla2[[#This Row],[ESPACIO]]&amp;Tabla2[[#This Row],[N° DOC]]</f>
        <v>BANCO AGRICOLA, S.A. CCF 17</v>
      </c>
      <c r="B165" s="67" t="s">
        <v>697</v>
      </c>
      <c r="C165" s="67" t="s">
        <v>414</v>
      </c>
      <c r="D165" s="67">
        <f>+VLOOKUP(Tabla2[[#This Row],[NOMBRE DE CLIENTE]],[3]CATALOGO!$A:$B,2,0)</f>
        <v>11030106</v>
      </c>
      <c r="E165" t="s">
        <v>516</v>
      </c>
      <c r="F165" t="s">
        <v>519</v>
      </c>
      <c r="G165" t="s">
        <v>1</v>
      </c>
      <c r="H165" t="s">
        <v>0</v>
      </c>
      <c r="I165" t="s">
        <v>499</v>
      </c>
      <c r="J165" t="s">
        <v>500</v>
      </c>
      <c r="K165">
        <v>17</v>
      </c>
      <c r="L165">
        <v>17</v>
      </c>
      <c r="M165" t="s">
        <v>244</v>
      </c>
      <c r="N165" t="s">
        <v>245</v>
      </c>
      <c r="O165" s="3">
        <v>0</v>
      </c>
      <c r="P165" s="3">
        <v>0</v>
      </c>
      <c r="Q165" s="3">
        <v>152.65</v>
      </c>
      <c r="R165" s="3">
        <v>19.8445</v>
      </c>
      <c r="S165" s="3">
        <v>0</v>
      </c>
      <c r="T165" s="3">
        <v>0</v>
      </c>
      <c r="U165" s="71">
        <v>172.49</v>
      </c>
      <c r="V165" t="s">
        <v>1</v>
      </c>
      <c r="W165">
        <v>170.97</v>
      </c>
    </row>
    <row r="166" spans="1:23" x14ac:dyDescent="0.25">
      <c r="A166" s="67" t="str">
        <f>+Tabla2[[#This Row],[NOMBRE DE CLIENTE]]&amp;Tabla2[[#This Row],[ESPACIO]]&amp;Tabla2[[#This Row],[CCF]]&amp;Tabla2[[#This Row],[ESPACIO]]&amp;Tabla2[[#This Row],[N° DOC]]</f>
        <v>BANCO AGRICOLA, S.A. CCF 16</v>
      </c>
      <c r="B166" s="67" t="s">
        <v>697</v>
      </c>
      <c r="C166" s="67" t="s">
        <v>414</v>
      </c>
      <c r="D166" s="67">
        <f>+VLOOKUP(Tabla2[[#This Row],[NOMBRE DE CLIENTE]],[3]CATALOGO!$A:$B,2,0)</f>
        <v>11030106</v>
      </c>
      <c r="E166" t="s">
        <v>516</v>
      </c>
      <c r="F166" t="s">
        <v>519</v>
      </c>
      <c r="G166" t="s">
        <v>1</v>
      </c>
      <c r="H166" t="s">
        <v>0</v>
      </c>
      <c r="I166" t="s">
        <v>499</v>
      </c>
      <c r="J166" t="s">
        <v>500</v>
      </c>
      <c r="K166">
        <v>16</v>
      </c>
      <c r="L166">
        <v>16</v>
      </c>
      <c r="M166" t="s">
        <v>244</v>
      </c>
      <c r="N166" t="s">
        <v>245</v>
      </c>
      <c r="O166" s="3">
        <v>0</v>
      </c>
      <c r="P166" s="3">
        <v>0</v>
      </c>
      <c r="Q166" s="3">
        <v>152.65</v>
      </c>
      <c r="R166" s="3">
        <v>19.8445</v>
      </c>
      <c r="S166" s="3">
        <v>0</v>
      </c>
      <c r="T166" s="3">
        <v>0</v>
      </c>
      <c r="U166" s="71">
        <v>172.49</v>
      </c>
      <c r="V166" t="s">
        <v>1</v>
      </c>
      <c r="W166">
        <v>170.97</v>
      </c>
    </row>
    <row r="167" spans="1:23" x14ac:dyDescent="0.25">
      <c r="A167" s="67" t="str">
        <f>+Tabla2[[#This Row],[NOMBRE DE CLIENTE]]&amp;Tabla2[[#This Row],[ESPACIO]]&amp;Tabla2[[#This Row],[CCF]]&amp;Tabla2[[#This Row],[ESPACIO]]&amp;Tabla2[[#This Row],[N° DOC]]</f>
        <v>BANCO AGRICOLA, S.A. CCF 15</v>
      </c>
      <c r="B167" s="67" t="s">
        <v>697</v>
      </c>
      <c r="C167" s="67" t="s">
        <v>414</v>
      </c>
      <c r="D167" s="67">
        <f>+VLOOKUP(Tabla2[[#This Row],[NOMBRE DE CLIENTE]],[3]CATALOGO!$A:$B,2,0)</f>
        <v>11030106</v>
      </c>
      <c r="E167" t="s">
        <v>516</v>
      </c>
      <c r="F167" t="s">
        <v>519</v>
      </c>
      <c r="G167" t="s">
        <v>1</v>
      </c>
      <c r="H167" t="s">
        <v>0</v>
      </c>
      <c r="I167" t="s">
        <v>499</v>
      </c>
      <c r="J167" t="s">
        <v>500</v>
      </c>
      <c r="K167">
        <v>15</v>
      </c>
      <c r="L167">
        <v>15</v>
      </c>
      <c r="M167" t="s">
        <v>244</v>
      </c>
      <c r="N167" t="s">
        <v>245</v>
      </c>
      <c r="O167" s="3">
        <v>0</v>
      </c>
      <c r="P167" s="3">
        <v>0</v>
      </c>
      <c r="Q167" s="3">
        <v>357.36</v>
      </c>
      <c r="R167" s="3">
        <v>46.456800000000001</v>
      </c>
      <c r="S167" s="3">
        <v>0</v>
      </c>
      <c r="T167" s="3">
        <v>0</v>
      </c>
      <c r="U167" s="71">
        <v>403.82</v>
      </c>
      <c r="V167" t="s">
        <v>1</v>
      </c>
      <c r="W167">
        <v>400.24</v>
      </c>
    </row>
    <row r="168" spans="1:23" x14ac:dyDescent="0.25">
      <c r="A168" s="67" t="str">
        <f>+Tabla2[[#This Row],[NOMBRE DE CLIENTE]]&amp;Tabla2[[#This Row],[ESPACIO]]&amp;Tabla2[[#This Row],[CCF]]&amp;Tabla2[[#This Row],[ESPACIO]]&amp;Tabla2[[#This Row],[N° DOC]]</f>
        <v>HOTELES S.A DE C.V. CCF 14</v>
      </c>
      <c r="B168" s="67" t="s">
        <v>697</v>
      </c>
      <c r="C168" s="67" t="s">
        <v>414</v>
      </c>
      <c r="D168" s="67">
        <f>+VLOOKUP(Tabla2[[#This Row],[NOMBRE DE CLIENTE]],[3]CATALOGO!$A:$B,2,0)</f>
        <v>11030111</v>
      </c>
      <c r="E168" t="s">
        <v>516</v>
      </c>
      <c r="F168" t="s">
        <v>519</v>
      </c>
      <c r="G168" t="s">
        <v>1</v>
      </c>
      <c r="H168" t="s">
        <v>0</v>
      </c>
      <c r="I168" t="s">
        <v>499</v>
      </c>
      <c r="J168" t="s">
        <v>500</v>
      </c>
      <c r="K168">
        <v>14</v>
      </c>
      <c r="L168">
        <v>14</v>
      </c>
      <c r="M168" t="s">
        <v>268</v>
      </c>
      <c r="N168" t="s">
        <v>269</v>
      </c>
      <c r="O168" s="3">
        <v>0</v>
      </c>
      <c r="P168" s="3">
        <v>0</v>
      </c>
      <c r="Q168" s="3">
        <v>750</v>
      </c>
      <c r="R168" s="3">
        <v>97.5</v>
      </c>
      <c r="S168" s="3">
        <v>0</v>
      </c>
      <c r="T168" s="3">
        <v>0</v>
      </c>
      <c r="U168" s="71">
        <v>847.5</v>
      </c>
      <c r="V168" t="s">
        <v>1</v>
      </c>
      <c r="W168">
        <v>840</v>
      </c>
    </row>
    <row r="169" spans="1:23" x14ac:dyDescent="0.25">
      <c r="A169" s="67" t="str">
        <f>+Tabla2[[#This Row],[NOMBRE DE CLIENTE]]&amp;Tabla2[[#This Row],[ESPACIO]]&amp;Tabla2[[#This Row],[CCF]]&amp;Tabla2[[#This Row],[ESPACIO]]&amp;Tabla2[[#This Row],[N° DOC]]</f>
        <v>TALLER DIDEA, S.A. DE C.V. CCF 13</v>
      </c>
      <c r="B169" s="67" t="s">
        <v>697</v>
      </c>
      <c r="C169" s="67" t="s">
        <v>414</v>
      </c>
      <c r="D169" s="67">
        <f>+VLOOKUP(Tabla2[[#This Row],[NOMBRE DE CLIENTE]],[3]CATALOGO!$A:$B,2,0)</f>
        <v>11030109</v>
      </c>
      <c r="E169" t="s">
        <v>516</v>
      </c>
      <c r="F169" t="s">
        <v>519</v>
      </c>
      <c r="G169" t="s">
        <v>1</v>
      </c>
      <c r="H169" t="s">
        <v>0</v>
      </c>
      <c r="I169" t="s">
        <v>499</v>
      </c>
      <c r="J169" t="s">
        <v>500</v>
      </c>
      <c r="K169">
        <v>13</v>
      </c>
      <c r="L169">
        <v>13</v>
      </c>
      <c r="M169" t="s">
        <v>272</v>
      </c>
      <c r="N169" t="s">
        <v>273</v>
      </c>
      <c r="O169" s="3">
        <v>0</v>
      </c>
      <c r="P169" s="3">
        <v>0</v>
      </c>
      <c r="Q169" s="3">
        <v>377.6</v>
      </c>
      <c r="R169" s="3">
        <v>49.088000000000008</v>
      </c>
      <c r="S169" s="3">
        <v>0</v>
      </c>
      <c r="T169" s="3">
        <v>0</v>
      </c>
      <c r="U169" s="71">
        <v>426.69</v>
      </c>
      <c r="V169" t="s">
        <v>1</v>
      </c>
      <c r="W169">
        <v>422.91</v>
      </c>
    </row>
    <row r="170" spans="1:23" x14ac:dyDescent="0.25">
      <c r="A170" s="67" t="str">
        <f>+Tabla2[[#This Row],[NOMBRE DE CLIENTE]]&amp;Tabla2[[#This Row],[ESPACIO]]&amp;Tabla2[[#This Row],[CCF]]&amp;Tabla2[[#This Row],[ESPACIO]]&amp;Tabla2[[#This Row],[N° DOC]]</f>
        <v>DIDEA S.A DE C.V. CCF 12</v>
      </c>
      <c r="B170" s="67" t="s">
        <v>697</v>
      </c>
      <c r="C170" s="67" t="s">
        <v>414</v>
      </c>
      <c r="D170" s="67">
        <f>+VLOOKUP(Tabla2[[#This Row],[NOMBRE DE CLIENTE]],[3]CATALOGO!$A:$B,2,0)</f>
        <v>11030117</v>
      </c>
      <c r="E170" t="s">
        <v>516</v>
      </c>
      <c r="F170" t="s">
        <v>519</v>
      </c>
      <c r="G170" t="s">
        <v>1</v>
      </c>
      <c r="H170" t="s">
        <v>0</v>
      </c>
      <c r="I170" t="s">
        <v>499</v>
      </c>
      <c r="J170" t="s">
        <v>500</v>
      </c>
      <c r="K170">
        <v>12</v>
      </c>
      <c r="L170">
        <v>12</v>
      </c>
      <c r="M170" t="s">
        <v>274</v>
      </c>
      <c r="N170" t="s">
        <v>275</v>
      </c>
      <c r="O170" s="3">
        <v>0</v>
      </c>
      <c r="P170" s="3">
        <v>0</v>
      </c>
      <c r="Q170" s="3">
        <v>141.1</v>
      </c>
      <c r="R170" s="3">
        <v>18.343</v>
      </c>
      <c r="S170" s="3">
        <v>0</v>
      </c>
      <c r="T170" s="3">
        <v>0</v>
      </c>
      <c r="U170" s="71">
        <v>159.44</v>
      </c>
      <c r="V170" t="s">
        <v>1</v>
      </c>
      <c r="W170">
        <v>158.03</v>
      </c>
    </row>
    <row r="171" spans="1:23" x14ac:dyDescent="0.25">
      <c r="A171" s="67" t="str">
        <f>+Tabla2[[#This Row],[NOMBRE DE CLIENTE]]&amp;Tabla2[[#This Row],[ESPACIO]]&amp;Tabla2[[#This Row],[CCF]]&amp;Tabla2[[#This Row],[ESPACIO]]&amp;Tabla2[[#This Row],[N° DOC]]</f>
        <v>PINTURA Y ENDEREZADO S.A DE C.V. CCF 11</v>
      </c>
      <c r="B171" s="67" t="s">
        <v>697</v>
      </c>
      <c r="C171" s="67" t="s">
        <v>414</v>
      </c>
      <c r="D171" s="67">
        <f>+VLOOKUP(Tabla2[[#This Row],[NOMBRE DE CLIENTE]],[3]CATALOGO!$A:$B,2,0)</f>
        <v>11030112</v>
      </c>
      <c r="E171" t="s">
        <v>516</v>
      </c>
      <c r="F171" t="s">
        <v>519</v>
      </c>
      <c r="G171" t="s">
        <v>1</v>
      </c>
      <c r="H171" t="s">
        <v>0</v>
      </c>
      <c r="I171" t="s">
        <v>499</v>
      </c>
      <c r="J171" t="s">
        <v>500</v>
      </c>
      <c r="K171">
        <v>11</v>
      </c>
      <c r="L171">
        <v>11</v>
      </c>
      <c r="M171" t="s">
        <v>270</v>
      </c>
      <c r="N171" t="s">
        <v>271</v>
      </c>
      <c r="O171" s="3">
        <v>0</v>
      </c>
      <c r="P171" s="3">
        <v>0</v>
      </c>
      <c r="Q171" s="3">
        <v>148.04</v>
      </c>
      <c r="R171" s="3">
        <v>19.245200000000001</v>
      </c>
      <c r="S171" s="3">
        <v>0</v>
      </c>
      <c r="T171" s="3">
        <v>0</v>
      </c>
      <c r="U171" s="71">
        <v>167.29</v>
      </c>
      <c r="V171" t="s">
        <v>1</v>
      </c>
      <c r="W171">
        <v>165.8</v>
      </c>
    </row>
    <row r="172" spans="1:23" x14ac:dyDescent="0.25">
      <c r="A172" s="67" t="str">
        <f>+Tabla2[[#This Row],[NOMBRE DE CLIENTE]]&amp;Tabla2[[#This Row],[ESPACIO]]&amp;Tabla2[[#This Row],[CCF]]&amp;Tabla2[[#This Row],[ESPACIO]]&amp;Tabla2[[#This Row],[N° DOC]]</f>
        <v>PRODUCTOS CARNICOS S.A DE C.V. CCF 10</v>
      </c>
      <c r="B172" s="67" t="s">
        <v>697</v>
      </c>
      <c r="C172" s="67" t="s">
        <v>414</v>
      </c>
      <c r="D172" s="67">
        <f>+VLOOKUP(Tabla2[[#This Row],[NOMBRE DE CLIENTE]],[3]CATALOGO!$A:$B,2,0)</f>
        <v>11030103</v>
      </c>
      <c r="E172" t="s">
        <v>87</v>
      </c>
      <c r="F172" t="s">
        <v>108</v>
      </c>
      <c r="G172" t="s">
        <v>1</v>
      </c>
      <c r="H172" t="s">
        <v>0</v>
      </c>
      <c r="I172" t="s">
        <v>499</v>
      </c>
      <c r="J172" t="s">
        <v>500</v>
      </c>
      <c r="K172">
        <v>10</v>
      </c>
      <c r="L172">
        <v>10</v>
      </c>
      <c r="M172" t="s">
        <v>242</v>
      </c>
      <c r="N172" t="s">
        <v>243</v>
      </c>
      <c r="O172" s="3">
        <v>0</v>
      </c>
      <c r="P172" s="3">
        <v>0</v>
      </c>
      <c r="Q172" s="3">
        <v>2498.4</v>
      </c>
      <c r="R172" s="3">
        <v>324.79200000000003</v>
      </c>
      <c r="S172" s="3">
        <v>0</v>
      </c>
      <c r="T172" s="3">
        <v>0</v>
      </c>
      <c r="U172" s="3">
        <v>2823.19</v>
      </c>
      <c r="V172" t="s">
        <v>1</v>
      </c>
      <c r="W172">
        <v>2798.21</v>
      </c>
    </row>
    <row r="173" spans="1:23" x14ac:dyDescent="0.25">
      <c r="A173" s="67" t="str">
        <f>+Tabla2[[#This Row],[NOMBRE DE CLIENTE]]&amp;Tabla2[[#This Row],[ESPACIO]]&amp;Tabla2[[#This Row],[CCF]]&amp;Tabla2[[#This Row],[ESPACIO]]&amp;Tabla2[[#This Row],[N° DOC]]</f>
        <v>PRODUCTOS CARNICOS S.A DE C.V. CCF 9</v>
      </c>
      <c r="B173" s="67" t="s">
        <v>697</v>
      </c>
      <c r="C173" s="67" t="s">
        <v>414</v>
      </c>
      <c r="D173" s="67">
        <f>+VLOOKUP(Tabla2[[#This Row],[NOMBRE DE CLIENTE]],[3]CATALOGO!$A:$B,2,0)</f>
        <v>11030103</v>
      </c>
      <c r="E173" t="s">
        <v>87</v>
      </c>
      <c r="F173" t="s">
        <v>108</v>
      </c>
      <c r="G173" t="s">
        <v>1</v>
      </c>
      <c r="H173" t="s">
        <v>0</v>
      </c>
      <c r="I173" t="s">
        <v>499</v>
      </c>
      <c r="J173" t="s">
        <v>500</v>
      </c>
      <c r="K173">
        <v>9</v>
      </c>
      <c r="L173">
        <v>9</v>
      </c>
      <c r="M173" t="s">
        <v>242</v>
      </c>
      <c r="N173" t="s">
        <v>243</v>
      </c>
      <c r="O173" s="3">
        <v>0</v>
      </c>
      <c r="P173" s="3">
        <v>0</v>
      </c>
      <c r="Q173" s="3">
        <v>344.6</v>
      </c>
      <c r="R173" s="3">
        <v>44.798000000000002</v>
      </c>
      <c r="S173" s="3">
        <v>0</v>
      </c>
      <c r="T173" s="3">
        <v>0</v>
      </c>
      <c r="U173" s="3">
        <v>389.4</v>
      </c>
      <c r="V173" t="s">
        <v>1</v>
      </c>
      <c r="W173">
        <v>385.95</v>
      </c>
    </row>
    <row r="174" spans="1:23" x14ac:dyDescent="0.25">
      <c r="A174" s="67" t="str">
        <f>+Tabla2[[#This Row],[NOMBRE DE CLIENTE]]&amp;Tabla2[[#This Row],[ESPACIO]]&amp;Tabla2[[#This Row],[CCF]]&amp;Tabla2[[#This Row],[ESPACIO]]&amp;Tabla2[[#This Row],[N° DOC]]</f>
        <v>OPERADORA DEL SUR, S. A. DE C.V. CCF 8</v>
      </c>
      <c r="B174" s="67" t="s">
        <v>697</v>
      </c>
      <c r="C174" s="67" t="s">
        <v>414</v>
      </c>
      <c r="D174" s="67">
        <f>+VLOOKUP(Tabla2[[#This Row],[NOMBRE DE CLIENTE]],[3]CATALOGO!$A:$B,2,0)</f>
        <v>11030105</v>
      </c>
      <c r="E174" t="s">
        <v>87</v>
      </c>
      <c r="F174" t="s">
        <v>95</v>
      </c>
      <c r="G174" t="s">
        <v>1</v>
      </c>
      <c r="H174" t="s">
        <v>0</v>
      </c>
      <c r="I174" t="s">
        <v>499</v>
      </c>
      <c r="J174" t="s">
        <v>500</v>
      </c>
      <c r="K174">
        <v>8</v>
      </c>
      <c r="L174">
        <v>8</v>
      </c>
      <c r="M174" t="s">
        <v>240</v>
      </c>
      <c r="N174" t="s">
        <v>241</v>
      </c>
      <c r="O174" s="3">
        <v>0</v>
      </c>
      <c r="P174" s="3">
        <v>0</v>
      </c>
      <c r="Q174" s="3">
        <v>7506.31</v>
      </c>
      <c r="R174" s="3">
        <v>975.82030000000009</v>
      </c>
      <c r="S174" s="3">
        <v>0</v>
      </c>
      <c r="T174" s="3">
        <v>0</v>
      </c>
      <c r="U174" s="3">
        <v>8482.1299999999992</v>
      </c>
      <c r="V174" t="s">
        <v>1</v>
      </c>
      <c r="W174">
        <v>8407.07</v>
      </c>
    </row>
    <row r="175" spans="1:23" x14ac:dyDescent="0.25">
      <c r="A175" s="67" t="str">
        <f>+Tabla2[[#This Row],[NOMBRE DE CLIENTE]]&amp;Tabla2[[#This Row],[ESPACIO]]&amp;Tabla2[[#This Row],[CCF]]&amp;Tabla2[[#This Row],[ESPACIO]]&amp;Tabla2[[#This Row],[N° DOC]]</f>
        <v>NEGOCIOS CAMYRAM S.A DE C.V CCF 7</v>
      </c>
      <c r="B175" s="67" t="s">
        <v>697</v>
      </c>
      <c r="C175" s="67" t="s">
        <v>414</v>
      </c>
      <c r="D175" s="67">
        <f>+VLOOKUP(Tabla2[[#This Row],[NOMBRE DE CLIENTE]],[3]CATALOGO!$A:$B,2,0)</f>
        <v>11030102</v>
      </c>
      <c r="E175" t="s">
        <v>87</v>
      </c>
      <c r="F175" t="s">
        <v>115</v>
      </c>
      <c r="G175" t="s">
        <v>1</v>
      </c>
      <c r="H175" t="s">
        <v>0</v>
      </c>
      <c r="I175" t="s">
        <v>499</v>
      </c>
      <c r="J175" t="s">
        <v>500</v>
      </c>
      <c r="K175">
        <v>7</v>
      </c>
      <c r="L175">
        <v>7</v>
      </c>
      <c r="M175" t="s">
        <v>246</v>
      </c>
      <c r="N175" t="s">
        <v>247</v>
      </c>
      <c r="O175" s="3">
        <v>0</v>
      </c>
      <c r="P175" s="3">
        <v>0</v>
      </c>
      <c r="Q175" s="3">
        <v>360.26</v>
      </c>
      <c r="R175" s="3">
        <v>46.833800000000004</v>
      </c>
      <c r="S175" s="3">
        <v>0</v>
      </c>
      <c r="T175" s="3">
        <v>0</v>
      </c>
      <c r="U175" s="3">
        <v>407.09</v>
      </c>
      <c r="V175" t="s">
        <v>1</v>
      </c>
      <c r="W175">
        <v>403.49</v>
      </c>
    </row>
    <row r="176" spans="1:23" x14ac:dyDescent="0.25">
      <c r="A176" s="67" t="str">
        <f>+Tabla2[[#This Row],[NOMBRE DE CLIENTE]]&amp;Tabla2[[#This Row],[ESPACIO]]&amp;Tabla2[[#This Row],[CCF]]&amp;Tabla2[[#This Row],[ESPACIO]]&amp;Tabla2[[#This Row],[N° DOC]]</f>
        <v>ESTABLECIMIENTOS ANCALMO, S.A DE C.V CCF 6</v>
      </c>
      <c r="B176" s="67" t="s">
        <v>697</v>
      </c>
      <c r="C176" s="67" t="s">
        <v>414</v>
      </c>
      <c r="D176" s="67">
        <f>+VLOOKUP(Tabla2[[#This Row],[NOMBRE DE CLIENTE]],[3]CATALOGO!$A:$B,2,0)</f>
        <v>11030110</v>
      </c>
      <c r="E176" t="s">
        <v>87</v>
      </c>
      <c r="F176" t="s">
        <v>111</v>
      </c>
      <c r="G176" t="s">
        <v>1</v>
      </c>
      <c r="H176" t="s">
        <v>0</v>
      </c>
      <c r="I176" t="s">
        <v>499</v>
      </c>
      <c r="J176" t="s">
        <v>500</v>
      </c>
      <c r="K176">
        <v>6</v>
      </c>
      <c r="L176">
        <v>6</v>
      </c>
      <c r="M176" t="s">
        <v>282</v>
      </c>
      <c r="N176" t="s">
        <v>283</v>
      </c>
      <c r="O176" s="3">
        <v>0</v>
      </c>
      <c r="P176" s="3">
        <v>0</v>
      </c>
      <c r="Q176" s="3">
        <v>143.63999999999999</v>
      </c>
      <c r="R176" s="3">
        <v>18.673199999999998</v>
      </c>
      <c r="S176" s="3">
        <v>0</v>
      </c>
      <c r="T176" s="3">
        <v>0</v>
      </c>
      <c r="U176" s="3">
        <v>162.31</v>
      </c>
      <c r="V176" t="s">
        <v>1</v>
      </c>
      <c r="W176">
        <v>160.88</v>
      </c>
    </row>
    <row r="177" spans="1:23" x14ac:dyDescent="0.25">
      <c r="A177" s="67" t="str">
        <f>+Tabla2[[#This Row],[NOMBRE DE CLIENTE]]&amp;Tabla2[[#This Row],[ESPACIO]]&amp;Tabla2[[#This Row],[CCF]]&amp;Tabla2[[#This Row],[ESPACIO]]&amp;Tabla2[[#This Row],[N° DOC]]</f>
        <v>OPERADORA DEL SUR, S. A. DE C.V. CCF 5</v>
      </c>
      <c r="B177" s="67" t="s">
        <v>697</v>
      </c>
      <c r="C177" s="67" t="s">
        <v>414</v>
      </c>
      <c r="D177" s="67">
        <f>+VLOOKUP(Tabla2[[#This Row],[NOMBRE DE CLIENTE]],[3]CATALOGO!$A:$B,2,0)</f>
        <v>11030105</v>
      </c>
      <c r="E177" t="s">
        <v>87</v>
      </c>
      <c r="F177" t="s">
        <v>111</v>
      </c>
      <c r="G177" t="s">
        <v>1</v>
      </c>
      <c r="H177" t="s">
        <v>0</v>
      </c>
      <c r="I177" t="s">
        <v>499</v>
      </c>
      <c r="J177" t="s">
        <v>500</v>
      </c>
      <c r="K177">
        <v>5</v>
      </c>
      <c r="L177">
        <v>5</v>
      </c>
      <c r="M177" t="s">
        <v>240</v>
      </c>
      <c r="N177" t="s">
        <v>241</v>
      </c>
      <c r="O177" s="3">
        <v>0</v>
      </c>
      <c r="P177" s="3">
        <v>0</v>
      </c>
      <c r="Q177" s="3">
        <v>225.03</v>
      </c>
      <c r="R177" s="3">
        <v>29.253900000000002</v>
      </c>
      <c r="S177" s="3">
        <v>0</v>
      </c>
      <c r="T177" s="3">
        <v>0</v>
      </c>
      <c r="U177" s="3">
        <v>254.28</v>
      </c>
      <c r="V177" t="s">
        <v>1</v>
      </c>
      <c r="W177">
        <v>252.03</v>
      </c>
    </row>
    <row r="178" spans="1:23" x14ac:dyDescent="0.25">
      <c r="A178" s="67" t="str">
        <f>+Tabla2[[#This Row],[NOMBRE DE CLIENTE]]&amp;Tabla2[[#This Row],[ESPACIO]]&amp;Tabla2[[#This Row],[CCF]]&amp;Tabla2[[#This Row],[ESPACIO]]&amp;Tabla2[[#This Row],[N° DOC]]</f>
        <v>OPERADORA DEL SUR, S. A. DE C.V. CCF 4</v>
      </c>
      <c r="B178" s="67" t="s">
        <v>697</v>
      </c>
      <c r="C178" s="67" t="s">
        <v>414</v>
      </c>
      <c r="D178" s="67">
        <f>+VLOOKUP(Tabla2[[#This Row],[NOMBRE DE CLIENTE]],[3]CATALOGO!$A:$B,2,0)</f>
        <v>11030105</v>
      </c>
      <c r="E178" t="s">
        <v>87</v>
      </c>
      <c r="F178" t="s">
        <v>111</v>
      </c>
      <c r="G178" t="s">
        <v>1</v>
      </c>
      <c r="H178" t="s">
        <v>0</v>
      </c>
      <c r="I178" t="s">
        <v>499</v>
      </c>
      <c r="J178" t="s">
        <v>500</v>
      </c>
      <c r="K178">
        <v>4</v>
      </c>
      <c r="L178">
        <v>4</v>
      </c>
      <c r="M178" t="s">
        <v>240</v>
      </c>
      <c r="N178" t="s">
        <v>241</v>
      </c>
      <c r="O178" s="3">
        <v>0</v>
      </c>
      <c r="P178" s="3">
        <v>0</v>
      </c>
      <c r="Q178" s="3">
        <v>500</v>
      </c>
      <c r="R178" s="3">
        <v>65</v>
      </c>
      <c r="S178" s="3">
        <v>0</v>
      </c>
      <c r="T178" s="3">
        <v>0</v>
      </c>
      <c r="U178" s="3">
        <v>565</v>
      </c>
      <c r="V178" t="s">
        <v>1</v>
      </c>
      <c r="W178">
        <v>560</v>
      </c>
    </row>
    <row r="179" spans="1:23" x14ac:dyDescent="0.25">
      <c r="A179" s="67" t="str">
        <f>+Tabla2[[#This Row],[NOMBRE DE CLIENTE]]&amp;Tabla2[[#This Row],[ESPACIO]]&amp;Tabla2[[#This Row],[CCF]]&amp;Tabla2[[#This Row],[ESPACIO]]&amp;Tabla2[[#This Row],[N° DOC]]</f>
        <v>OPERADORA DEL SUR, S. A. DE C.V. CCF 3</v>
      </c>
      <c r="B179" s="67" t="s">
        <v>697</v>
      </c>
      <c r="C179" s="67" t="s">
        <v>414</v>
      </c>
      <c r="D179" s="67">
        <f>+VLOOKUP(Tabla2[[#This Row],[NOMBRE DE CLIENTE]],[3]CATALOGO!$A:$B,2,0)</f>
        <v>11030105</v>
      </c>
      <c r="E179" t="s">
        <v>87</v>
      </c>
      <c r="F179" t="s">
        <v>111</v>
      </c>
      <c r="G179" t="s">
        <v>1</v>
      </c>
      <c r="H179" t="s">
        <v>0</v>
      </c>
      <c r="I179" t="s">
        <v>499</v>
      </c>
      <c r="J179" t="s">
        <v>500</v>
      </c>
      <c r="K179">
        <v>3</v>
      </c>
      <c r="L179">
        <v>3</v>
      </c>
      <c r="M179" t="s">
        <v>240</v>
      </c>
      <c r="N179" t="s">
        <v>241</v>
      </c>
      <c r="O179" s="3">
        <v>0</v>
      </c>
      <c r="P179" s="3">
        <v>0</v>
      </c>
      <c r="Q179" s="3">
        <v>2147.04</v>
      </c>
      <c r="R179" s="3">
        <v>279.11520000000002</v>
      </c>
      <c r="S179" s="3">
        <v>0</v>
      </c>
      <c r="T179" s="3">
        <v>0</v>
      </c>
      <c r="U179" s="3">
        <v>2426.16</v>
      </c>
      <c r="V179" t="s">
        <v>1</v>
      </c>
      <c r="W179">
        <v>2404.6799999999998</v>
      </c>
    </row>
    <row r="180" spans="1:23" x14ac:dyDescent="0.25">
      <c r="A180" s="67" t="str">
        <f>+Tabla2[[#This Row],[NOMBRE DE CLIENTE]]&amp;Tabla2[[#This Row],[ESPACIO]]&amp;Tabla2[[#This Row],[CCF]]&amp;Tabla2[[#This Row],[ESPACIO]]&amp;Tabla2[[#This Row],[N° DOC]]</f>
        <v>OPERADORA DEL SUR, S. A. DE C.V. CCF 2</v>
      </c>
      <c r="B180" s="67" t="s">
        <v>697</v>
      </c>
      <c r="C180" s="67" t="s">
        <v>414</v>
      </c>
      <c r="D180" s="67">
        <f>+VLOOKUP(Tabla2[[#This Row],[NOMBRE DE CLIENTE]],[3]CATALOGO!$A:$B,2,0)</f>
        <v>11030105</v>
      </c>
      <c r="E180" t="s">
        <v>87</v>
      </c>
      <c r="F180" t="s">
        <v>111</v>
      </c>
      <c r="G180" t="s">
        <v>1</v>
      </c>
      <c r="H180" t="s">
        <v>0</v>
      </c>
      <c r="I180" t="s">
        <v>499</v>
      </c>
      <c r="J180" t="s">
        <v>500</v>
      </c>
      <c r="K180">
        <v>2</v>
      </c>
      <c r="L180">
        <v>2</v>
      </c>
      <c r="M180" t="s">
        <v>240</v>
      </c>
      <c r="N180" t="s">
        <v>241</v>
      </c>
      <c r="O180" s="3">
        <v>0</v>
      </c>
      <c r="P180" s="3">
        <v>0</v>
      </c>
      <c r="Q180" s="3">
        <v>550</v>
      </c>
      <c r="R180" s="3">
        <v>71.5</v>
      </c>
      <c r="S180" s="3">
        <v>0</v>
      </c>
      <c r="T180" s="3">
        <v>0</v>
      </c>
      <c r="U180" s="3">
        <v>621.5</v>
      </c>
      <c r="V180" t="s">
        <v>1</v>
      </c>
      <c r="W180">
        <v>616</v>
      </c>
    </row>
    <row r="181" spans="1:23" x14ac:dyDescent="0.25">
      <c r="A181" s="67" t="str">
        <f>+Tabla2[[#This Row],[NOMBRE DE CLIENTE]]&amp;Tabla2[[#This Row],[ESPACIO]]&amp;Tabla2[[#This Row],[CCF]]&amp;Tabla2[[#This Row],[ESPACIO]]&amp;Tabla2[[#This Row],[N° DOC]]</f>
        <v>INDUSTRIAS MIKE MIKE S.A DE C.V. CCF 1</v>
      </c>
      <c r="B181" s="67" t="s">
        <v>697</v>
      </c>
      <c r="C181" s="67" t="s">
        <v>414</v>
      </c>
      <c r="D181" s="67">
        <f>+VLOOKUP(Tabla2[[#This Row],[NOMBRE DE CLIENTE]],[3]CATALOGO!$A:$B,2,0)</f>
        <v>11030116</v>
      </c>
      <c r="E181" t="s">
        <v>87</v>
      </c>
      <c r="F181" t="s">
        <v>111</v>
      </c>
      <c r="G181" t="s">
        <v>1</v>
      </c>
      <c r="H181" t="s">
        <v>0</v>
      </c>
      <c r="I181" t="s">
        <v>499</v>
      </c>
      <c r="J181" t="s">
        <v>500</v>
      </c>
      <c r="K181">
        <v>1</v>
      </c>
      <c r="L181">
        <v>1</v>
      </c>
      <c r="M181" t="s">
        <v>248</v>
      </c>
      <c r="N181" t="s">
        <v>249</v>
      </c>
      <c r="O181" s="3">
        <v>0</v>
      </c>
      <c r="P181" s="3">
        <v>0</v>
      </c>
      <c r="Q181" s="3">
        <v>165.92</v>
      </c>
      <c r="R181" s="3">
        <v>21.569599999999998</v>
      </c>
      <c r="S181" s="3">
        <v>0</v>
      </c>
      <c r="T181" s="3">
        <v>0</v>
      </c>
      <c r="U181" s="3">
        <v>187.49</v>
      </c>
      <c r="V181" t="s">
        <v>1</v>
      </c>
      <c r="W181">
        <v>185.83</v>
      </c>
    </row>
    <row r="182" spans="1:23" x14ac:dyDescent="0.25">
      <c r="A182" s="67" t="str">
        <f>+Tabla2[[#This Row],[NOMBRE DE CLIENTE]]&amp;Tabla2[[#This Row],[ESPACIO]]&amp;Tabla2[[#This Row],[CCF]]&amp;Tabla2[[#This Row],[ESPACIO]]&amp;Tabla2[[#This Row],[N° DOC]]</f>
        <v>INVERSIONES STANLEY PACIFICO S.A DE C.V. CCF 400</v>
      </c>
      <c r="B182" s="67" t="s">
        <v>697</v>
      </c>
      <c r="C182" s="67" t="s">
        <v>414</v>
      </c>
      <c r="D182" s="67">
        <f>+VLOOKUP(Tabla2[[#This Row],[NOMBRE DE CLIENTE]],[3]CATALOGO!$A:$B,2,0)</f>
        <v>11030113</v>
      </c>
      <c r="E182" t="s">
        <v>87</v>
      </c>
      <c r="F182" t="s">
        <v>108</v>
      </c>
      <c r="G182" t="s">
        <v>1</v>
      </c>
      <c r="H182" t="s">
        <v>0</v>
      </c>
      <c r="I182" t="s">
        <v>497</v>
      </c>
      <c r="J182" t="s">
        <v>498</v>
      </c>
      <c r="K182">
        <v>400</v>
      </c>
      <c r="L182">
        <v>400</v>
      </c>
      <c r="M182" t="s">
        <v>252</v>
      </c>
      <c r="N182" t="s">
        <v>253</v>
      </c>
      <c r="O182" s="3">
        <v>0</v>
      </c>
      <c r="P182" s="3">
        <v>0</v>
      </c>
      <c r="Q182" s="3">
        <v>386.64</v>
      </c>
      <c r="R182" s="3">
        <v>50.263199999999998</v>
      </c>
      <c r="S182" s="3">
        <v>0</v>
      </c>
      <c r="T182" s="3">
        <v>0</v>
      </c>
      <c r="U182" s="3">
        <v>436.9</v>
      </c>
      <c r="V182" t="s">
        <v>1</v>
      </c>
      <c r="W182">
        <v>433.04</v>
      </c>
    </row>
    <row r="183" spans="1:23" x14ac:dyDescent="0.25">
      <c r="A183" s="67" t="str">
        <f>+Tabla2[[#This Row],[NOMBRE DE CLIENTE]]&amp;Tabla2[[#This Row],[ESPACIO]]&amp;Tabla2[[#This Row],[CCF]]&amp;Tabla2[[#This Row],[ESPACIO]]&amp;Tabla2[[#This Row],[N° DOC]]</f>
        <v>NEMTEX S.A DE C.V. CCF 399</v>
      </c>
      <c r="B183" s="67" t="s">
        <v>697</v>
      </c>
      <c r="C183" s="67" t="s">
        <v>414</v>
      </c>
      <c r="D183" s="67">
        <f>+VLOOKUP(Tabla2[[#This Row],[NOMBRE DE CLIENTE]],[3]CATALOGO!$A:$B,2,0)</f>
        <v>11030118</v>
      </c>
      <c r="E183" t="s">
        <v>87</v>
      </c>
      <c r="F183" t="s">
        <v>111</v>
      </c>
      <c r="G183" t="s">
        <v>1</v>
      </c>
      <c r="H183" t="s">
        <v>0</v>
      </c>
      <c r="I183" t="s">
        <v>497</v>
      </c>
      <c r="J183" t="s">
        <v>498</v>
      </c>
      <c r="K183">
        <v>399</v>
      </c>
      <c r="L183">
        <v>399</v>
      </c>
      <c r="M183" t="s">
        <v>258</v>
      </c>
      <c r="N183" t="s">
        <v>259</v>
      </c>
      <c r="O183" s="3">
        <v>0</v>
      </c>
      <c r="P183" s="3">
        <v>0</v>
      </c>
      <c r="Q183" s="3">
        <v>255.92</v>
      </c>
      <c r="R183" s="3">
        <v>33.269599999999997</v>
      </c>
      <c r="S183" s="3">
        <v>0</v>
      </c>
      <c r="T183" s="3">
        <v>0</v>
      </c>
      <c r="U183" s="3">
        <v>289.19</v>
      </c>
      <c r="V183" t="s">
        <v>1</v>
      </c>
      <c r="W183">
        <v>286.63</v>
      </c>
    </row>
    <row r="184" spans="1:23" x14ac:dyDescent="0.25">
      <c r="A184" s="67" t="str">
        <f>+Tabla2[[#This Row],[NOMBRE DE CLIENTE]]&amp;Tabla2[[#This Row],[ESPACIO]]&amp;Tabla2[[#This Row],[CCF]]&amp;Tabla2[[#This Row],[ESPACIO]]&amp;Tabla2[[#This Row],[N° DOC]]</f>
        <v>UNILEVER EL SALVADOR SCC S.A DE C.V. CCF 398</v>
      </c>
      <c r="B184" s="67" t="s">
        <v>697</v>
      </c>
      <c r="C184" s="67" t="s">
        <v>414</v>
      </c>
      <c r="D184" s="67">
        <f>+VLOOKUP(Tabla2[[#This Row],[NOMBRE DE CLIENTE]],[3]CATALOGO!$A:$B,2,0)</f>
        <v>11030108</v>
      </c>
      <c r="E184" t="s">
        <v>87</v>
      </c>
      <c r="F184" t="s">
        <v>111</v>
      </c>
      <c r="G184" t="s">
        <v>1</v>
      </c>
      <c r="H184" t="s">
        <v>0</v>
      </c>
      <c r="I184" t="s">
        <v>497</v>
      </c>
      <c r="J184" t="s">
        <v>498</v>
      </c>
      <c r="K184">
        <v>398</v>
      </c>
      <c r="L184">
        <v>398</v>
      </c>
      <c r="M184" t="s">
        <v>262</v>
      </c>
      <c r="N184" t="s">
        <v>263</v>
      </c>
      <c r="O184" s="3">
        <v>0</v>
      </c>
      <c r="P184" s="3">
        <v>0</v>
      </c>
      <c r="Q184" s="3">
        <v>1235.42</v>
      </c>
      <c r="R184" s="3">
        <v>160.6046</v>
      </c>
      <c r="S184" s="3">
        <v>0</v>
      </c>
      <c r="T184" s="3">
        <v>0</v>
      </c>
      <c r="U184" s="3">
        <v>1396.02</v>
      </c>
      <c r="V184" t="s">
        <v>1</v>
      </c>
      <c r="W184">
        <v>1383.67</v>
      </c>
    </row>
    <row r="185" spans="1:23" x14ac:dyDescent="0.25">
      <c r="A185" s="67" t="str">
        <f>+Tabla2[[#This Row],[NOMBRE DE CLIENTE]]&amp;Tabla2[[#This Row],[ESPACIO]]&amp;Tabla2[[#This Row],[CCF]]&amp;Tabla2[[#This Row],[ESPACIO]]&amp;Tabla2[[#This Row],[N° DOC]]</f>
        <v>GRANJA EL ROBLE S.A DE C.V. CCF 397</v>
      </c>
      <c r="B185" s="67" t="s">
        <v>697</v>
      </c>
      <c r="C185" s="67" t="s">
        <v>414</v>
      </c>
      <c r="D185" s="67">
        <f>+VLOOKUP(Tabla2[[#This Row],[NOMBRE DE CLIENTE]],[3]CATALOGO!$A:$B,2,0)</f>
        <v>11030143</v>
      </c>
      <c r="E185" t="s">
        <v>87</v>
      </c>
      <c r="F185" t="s">
        <v>105</v>
      </c>
      <c r="G185" t="s">
        <v>1</v>
      </c>
      <c r="H185" t="s">
        <v>0</v>
      </c>
      <c r="I185" t="s">
        <v>497</v>
      </c>
      <c r="J185" t="s">
        <v>498</v>
      </c>
      <c r="K185">
        <v>397</v>
      </c>
      <c r="L185">
        <v>397</v>
      </c>
      <c r="M185" t="s">
        <v>286</v>
      </c>
      <c r="N185" t="s">
        <v>287</v>
      </c>
      <c r="O185" s="3">
        <v>0</v>
      </c>
      <c r="P185" s="3">
        <v>0</v>
      </c>
      <c r="Q185" s="3">
        <v>452.14</v>
      </c>
      <c r="R185" s="3">
        <v>58.778199999999998</v>
      </c>
      <c r="S185" s="3">
        <v>0</v>
      </c>
      <c r="T185" s="3">
        <v>0</v>
      </c>
      <c r="U185" s="3">
        <v>510.92</v>
      </c>
      <c r="V185" t="s">
        <v>1</v>
      </c>
      <c r="W185">
        <v>506.4</v>
      </c>
    </row>
    <row r="186" spans="1:23" x14ac:dyDescent="0.25">
      <c r="A186" s="67" t="str">
        <f>+Tabla2[[#This Row],[NOMBRE DE CLIENTE]]&amp;Tabla2[[#This Row],[ESPACIO]]&amp;Tabla2[[#This Row],[CCF]]&amp;Tabla2[[#This Row],[ESPACIO]]&amp;Tabla2[[#This Row],[N° DOC]]</f>
        <v>POLYBAG S.A DE C.V. CCF 396</v>
      </c>
      <c r="B186" s="67" t="s">
        <v>697</v>
      </c>
      <c r="C186" s="67" t="s">
        <v>414</v>
      </c>
      <c r="D186" s="67">
        <f>+VLOOKUP(Tabla2[[#This Row],[NOMBRE DE CLIENTE]],[3]CATALOGO!$A:$B,2,0)</f>
        <v>11030124</v>
      </c>
      <c r="E186" t="s">
        <v>87</v>
      </c>
      <c r="F186" t="s">
        <v>102</v>
      </c>
      <c r="G186" t="s">
        <v>1</v>
      </c>
      <c r="H186" t="s">
        <v>0</v>
      </c>
      <c r="I186" t="s">
        <v>497</v>
      </c>
      <c r="J186" t="s">
        <v>498</v>
      </c>
      <c r="K186">
        <v>396</v>
      </c>
      <c r="L186">
        <v>396</v>
      </c>
      <c r="M186" t="s">
        <v>256</v>
      </c>
      <c r="N186" t="s">
        <v>257</v>
      </c>
      <c r="O186" s="3">
        <v>0</v>
      </c>
      <c r="P186" s="3">
        <v>0</v>
      </c>
      <c r="Q186" s="3">
        <v>375</v>
      </c>
      <c r="R186" s="3">
        <v>48.75</v>
      </c>
      <c r="S186" s="3">
        <v>0</v>
      </c>
      <c r="T186" s="3">
        <v>0</v>
      </c>
      <c r="U186" s="3">
        <v>423.75</v>
      </c>
      <c r="V186" t="s">
        <v>1</v>
      </c>
      <c r="W186">
        <v>420</v>
      </c>
    </row>
    <row r="187" spans="1:23" x14ac:dyDescent="0.25">
      <c r="A187" s="67" t="str">
        <f>+Tabla2[[#This Row],[NOMBRE DE CLIENTE]]&amp;Tabla2[[#This Row],[ESPACIO]]&amp;Tabla2[[#This Row],[CCF]]&amp;Tabla2[[#This Row],[ESPACIO]]&amp;Tabla2[[#This Row],[N° DOC]]</f>
        <v>ENMANUEL S.A DE C.V. CCF 395</v>
      </c>
      <c r="B187" s="67" t="s">
        <v>697</v>
      </c>
      <c r="C187" s="67" t="s">
        <v>414</v>
      </c>
      <c r="D187" s="67">
        <f>+VLOOKUP(Tabla2[[#This Row],[NOMBRE DE CLIENTE]],[3]CATALOGO!$A:$B,2,0)</f>
        <v>11030127</v>
      </c>
      <c r="E187" t="s">
        <v>87</v>
      </c>
      <c r="F187" t="s">
        <v>102</v>
      </c>
      <c r="G187" t="s">
        <v>1</v>
      </c>
      <c r="H187" t="s">
        <v>0</v>
      </c>
      <c r="I187" t="s">
        <v>497</v>
      </c>
      <c r="J187" t="s">
        <v>498</v>
      </c>
      <c r="K187">
        <v>395</v>
      </c>
      <c r="L187">
        <v>395</v>
      </c>
      <c r="M187" t="s">
        <v>254</v>
      </c>
      <c r="N187" t="s">
        <v>255</v>
      </c>
      <c r="O187" s="3">
        <v>0</v>
      </c>
      <c r="P187" s="3">
        <v>0</v>
      </c>
      <c r="Q187" s="3">
        <v>300</v>
      </c>
      <c r="R187" s="3">
        <v>39</v>
      </c>
      <c r="S187" s="3">
        <v>0</v>
      </c>
      <c r="T187" s="3">
        <v>0</v>
      </c>
      <c r="U187" s="3">
        <v>339</v>
      </c>
      <c r="V187" t="s">
        <v>1</v>
      </c>
      <c r="W187">
        <v>336</v>
      </c>
    </row>
    <row r="188" spans="1:23" x14ac:dyDescent="0.25">
      <c r="A188" s="67" t="str">
        <f>+Tabla2[[#This Row],[NOMBRE DE CLIENTE]]&amp;Tabla2[[#This Row],[ESPACIO]]&amp;Tabla2[[#This Row],[CCF]]&amp;Tabla2[[#This Row],[ESPACIO]]&amp;Tabla2[[#This Row],[N° DOC]]</f>
        <v>GRUPO PAILL S.A DE C.V. CCF 394</v>
      </c>
      <c r="B188" s="67" t="s">
        <v>697</v>
      </c>
      <c r="C188" s="67" t="s">
        <v>414</v>
      </c>
      <c r="D188" s="67">
        <f>+VLOOKUP(Tabla2[[#This Row],[NOMBRE DE CLIENTE]],[3]CATALOGO!$A:$B,2,0)</f>
        <v>11030104</v>
      </c>
      <c r="E188" t="s">
        <v>87</v>
      </c>
      <c r="F188" t="s">
        <v>117</v>
      </c>
      <c r="G188" t="s">
        <v>1</v>
      </c>
      <c r="H188" t="s">
        <v>0</v>
      </c>
      <c r="I188" t="s">
        <v>497</v>
      </c>
      <c r="J188" t="s">
        <v>498</v>
      </c>
      <c r="K188">
        <v>394</v>
      </c>
      <c r="L188">
        <v>394</v>
      </c>
      <c r="M188" t="s">
        <v>276</v>
      </c>
      <c r="N188" t="s">
        <v>277</v>
      </c>
      <c r="O188" s="3">
        <v>0</v>
      </c>
      <c r="P188" s="3">
        <v>0</v>
      </c>
      <c r="Q188" s="3">
        <v>1292.76</v>
      </c>
      <c r="R188" s="3">
        <v>168.05879999999999</v>
      </c>
      <c r="S188" s="3">
        <v>0</v>
      </c>
      <c r="T188" s="3">
        <v>0</v>
      </c>
      <c r="U188" s="3">
        <v>1460.82</v>
      </c>
      <c r="V188" t="s">
        <v>1</v>
      </c>
      <c r="W188">
        <v>1447.89</v>
      </c>
    </row>
    <row r="189" spans="1:23" x14ac:dyDescent="0.25">
      <c r="A189" s="67" t="str">
        <f>+Tabla2[[#This Row],[NOMBRE DE CLIENTE]]&amp;Tabla2[[#This Row],[ESPACIO]]&amp;Tabla2[[#This Row],[CCF]]&amp;Tabla2[[#This Row],[ESPACIO]]&amp;Tabla2[[#This Row],[N° DOC]]</f>
        <v>LA CONSTANCIA LTDA DE C.V. CCF 393</v>
      </c>
      <c r="B189" s="67" t="s">
        <v>697</v>
      </c>
      <c r="C189" s="67" t="s">
        <v>414</v>
      </c>
      <c r="D189" s="67">
        <f>+VLOOKUP(Tabla2[[#This Row],[NOMBRE DE CLIENTE]],[3]CATALOGO!$A:$B,2,0)</f>
        <v>11030114</v>
      </c>
      <c r="E189" t="s">
        <v>87</v>
      </c>
      <c r="F189" t="s">
        <v>117</v>
      </c>
      <c r="G189" t="s">
        <v>1</v>
      </c>
      <c r="H189" t="s">
        <v>0</v>
      </c>
      <c r="I189" t="s">
        <v>497</v>
      </c>
      <c r="J189" t="s">
        <v>498</v>
      </c>
      <c r="K189">
        <v>393</v>
      </c>
      <c r="L189">
        <v>393</v>
      </c>
      <c r="M189" t="s">
        <v>250</v>
      </c>
      <c r="N189" t="s">
        <v>251</v>
      </c>
      <c r="O189" s="3">
        <v>0</v>
      </c>
      <c r="P189" s="3">
        <v>0</v>
      </c>
      <c r="Q189" s="3">
        <v>619.01</v>
      </c>
      <c r="R189" s="3">
        <v>80.471299999999999</v>
      </c>
      <c r="S189" s="3">
        <v>0</v>
      </c>
      <c r="T189" s="3">
        <v>0</v>
      </c>
      <c r="U189" s="3">
        <v>699.48</v>
      </c>
      <c r="V189" t="s">
        <v>1</v>
      </c>
      <c r="W189">
        <v>693.29</v>
      </c>
    </row>
    <row r="190" spans="1:23" x14ac:dyDescent="0.25">
      <c r="A190" s="67" t="str">
        <f>+Tabla2[[#This Row],[NOMBRE DE CLIENTE]]&amp;Tabla2[[#This Row],[ESPACIO]]&amp;Tabla2[[#This Row],[CCF]]&amp;Tabla2[[#This Row],[ESPACIO]]&amp;Tabla2[[#This Row],[N° DOC]]</f>
        <v>LA CONSTANCIA LTDA DE C.V. CCF 392</v>
      </c>
      <c r="B190" s="67" t="s">
        <v>697</v>
      </c>
      <c r="C190" s="67" t="s">
        <v>414</v>
      </c>
      <c r="D190" s="67">
        <f>+VLOOKUP(Tabla2[[#This Row],[NOMBRE DE CLIENTE]],[3]CATALOGO!$A:$B,2,0)</f>
        <v>11030114</v>
      </c>
      <c r="E190" t="s">
        <v>87</v>
      </c>
      <c r="F190" t="s">
        <v>117</v>
      </c>
      <c r="G190" t="s">
        <v>1</v>
      </c>
      <c r="H190" t="s">
        <v>0</v>
      </c>
      <c r="I190" t="s">
        <v>497</v>
      </c>
      <c r="J190" t="s">
        <v>498</v>
      </c>
      <c r="K190">
        <v>392</v>
      </c>
      <c r="L190">
        <v>392</v>
      </c>
      <c r="M190" t="s">
        <v>250</v>
      </c>
      <c r="N190" t="s">
        <v>251</v>
      </c>
      <c r="O190" s="3">
        <v>0</v>
      </c>
      <c r="P190" s="3">
        <v>0</v>
      </c>
      <c r="Q190" s="3">
        <v>619.01</v>
      </c>
      <c r="R190" s="3">
        <v>80.471299999999999</v>
      </c>
      <c r="S190" s="3">
        <v>0</v>
      </c>
      <c r="T190" s="3">
        <v>0</v>
      </c>
      <c r="U190" s="3">
        <v>699.48</v>
      </c>
      <c r="V190" t="s">
        <v>1</v>
      </c>
      <c r="W190">
        <v>693.29</v>
      </c>
    </row>
    <row r="191" spans="1:23" x14ac:dyDescent="0.25">
      <c r="A191" s="67" t="str">
        <f>+Tabla2[[#This Row],[NOMBRE DE CLIENTE]]&amp;Tabla2[[#This Row],[ESPACIO]]&amp;Tabla2[[#This Row],[CCF]]&amp;Tabla2[[#This Row],[ESPACIO]]&amp;Tabla2[[#This Row],[N° DOC]]</f>
        <v>HOTELES S.A DE C.V. CCF 391</v>
      </c>
      <c r="B191" s="67" t="s">
        <v>697</v>
      </c>
      <c r="C191" s="67" t="s">
        <v>414</v>
      </c>
      <c r="D191" s="67">
        <f>+VLOOKUP(Tabla2[[#This Row],[NOMBRE DE CLIENTE]],[3]CATALOGO!$A:$B,2,0)</f>
        <v>11030111</v>
      </c>
      <c r="E191" t="s">
        <v>87</v>
      </c>
      <c r="F191" t="s">
        <v>119</v>
      </c>
      <c r="G191" t="s">
        <v>1</v>
      </c>
      <c r="H191" t="s">
        <v>0</v>
      </c>
      <c r="I191" t="s">
        <v>497</v>
      </c>
      <c r="J191" t="s">
        <v>498</v>
      </c>
      <c r="K191">
        <v>391</v>
      </c>
      <c r="L191">
        <v>391</v>
      </c>
      <c r="M191" t="s">
        <v>268</v>
      </c>
      <c r="N191" t="s">
        <v>269</v>
      </c>
      <c r="O191" s="3">
        <v>0</v>
      </c>
      <c r="P191" s="3">
        <v>0</v>
      </c>
      <c r="Q191" s="3">
        <v>750</v>
      </c>
      <c r="R191" s="3">
        <v>97.5</v>
      </c>
      <c r="S191" s="3">
        <v>0</v>
      </c>
      <c r="T191" s="3">
        <v>0</v>
      </c>
      <c r="U191" s="3">
        <v>847.5</v>
      </c>
      <c r="V191" t="s">
        <v>1</v>
      </c>
      <c r="W191">
        <v>840</v>
      </c>
    </row>
    <row r="192" spans="1:23" x14ac:dyDescent="0.25">
      <c r="A192" s="67" t="str">
        <f>+Tabla2[[#This Row],[NOMBRE DE CLIENTE]]&amp;Tabla2[[#This Row],[ESPACIO]]&amp;Tabla2[[#This Row],[CCF]]&amp;Tabla2[[#This Row],[ESPACIO]]&amp;Tabla2[[#This Row],[N° DOC]]</f>
        <v>PINTURA Y ENDEREZADO S.A DE C.V. CCF 390</v>
      </c>
      <c r="B192" s="67" t="s">
        <v>697</v>
      </c>
      <c r="C192" s="67" t="s">
        <v>414</v>
      </c>
      <c r="D192" s="67">
        <f>+VLOOKUP(Tabla2[[#This Row],[NOMBRE DE CLIENTE]],[3]CATALOGO!$A:$B,2,0)</f>
        <v>11030112</v>
      </c>
      <c r="E192" t="s">
        <v>87</v>
      </c>
      <c r="F192" t="s">
        <v>119</v>
      </c>
      <c r="G192" t="s">
        <v>1</v>
      </c>
      <c r="H192" t="s">
        <v>0</v>
      </c>
      <c r="I192" t="s">
        <v>497</v>
      </c>
      <c r="J192" t="s">
        <v>498</v>
      </c>
      <c r="K192">
        <v>390</v>
      </c>
      <c r="L192">
        <v>390</v>
      </c>
      <c r="M192" t="s">
        <v>270</v>
      </c>
      <c r="N192" t="s">
        <v>271</v>
      </c>
      <c r="O192" s="3">
        <v>0</v>
      </c>
      <c r="P192" s="3">
        <v>0</v>
      </c>
      <c r="Q192" s="3">
        <v>148.04</v>
      </c>
      <c r="R192" s="3">
        <v>19.245200000000001</v>
      </c>
      <c r="S192" s="3">
        <v>0</v>
      </c>
      <c r="T192" s="3">
        <v>0</v>
      </c>
      <c r="U192" s="3">
        <v>167.29</v>
      </c>
      <c r="V192" t="s">
        <v>1</v>
      </c>
      <c r="W192">
        <v>165.8</v>
      </c>
    </row>
    <row r="193" spans="1:23" x14ac:dyDescent="0.25">
      <c r="A193" s="67" t="str">
        <f>+Tabla2[[#This Row],[NOMBRE DE CLIENTE]]&amp;Tabla2[[#This Row],[ESPACIO]]&amp;Tabla2[[#This Row],[CCF]]&amp;Tabla2[[#This Row],[ESPACIO]]&amp;Tabla2[[#This Row],[N° DOC]]</f>
        <v>TALLER DIDEA, S.A. DE C.V. CCF 389</v>
      </c>
      <c r="B193" s="67" t="s">
        <v>697</v>
      </c>
      <c r="C193" s="67" t="s">
        <v>414</v>
      </c>
      <c r="D193" s="67">
        <f>+VLOOKUP(Tabla2[[#This Row],[NOMBRE DE CLIENTE]],[3]CATALOGO!$A:$B,2,0)</f>
        <v>11030109</v>
      </c>
      <c r="E193" t="s">
        <v>87</v>
      </c>
      <c r="F193" t="s">
        <v>119</v>
      </c>
      <c r="G193" t="s">
        <v>1</v>
      </c>
      <c r="H193" t="s">
        <v>0</v>
      </c>
      <c r="I193" t="s">
        <v>497</v>
      </c>
      <c r="J193" t="s">
        <v>498</v>
      </c>
      <c r="K193">
        <v>389</v>
      </c>
      <c r="L193">
        <v>389</v>
      </c>
      <c r="M193" t="s">
        <v>272</v>
      </c>
      <c r="N193" t="s">
        <v>273</v>
      </c>
      <c r="O193" s="3">
        <v>0</v>
      </c>
      <c r="P193" s="3">
        <v>0</v>
      </c>
      <c r="Q193" s="3">
        <v>377.6</v>
      </c>
      <c r="R193" s="3">
        <v>49.088000000000008</v>
      </c>
      <c r="S193" s="3">
        <v>0</v>
      </c>
      <c r="T193" s="3">
        <v>0</v>
      </c>
      <c r="U193" s="3">
        <v>426.69</v>
      </c>
      <c r="V193" t="s">
        <v>1</v>
      </c>
      <c r="W193">
        <v>422.91</v>
      </c>
    </row>
    <row r="194" spans="1:23" x14ac:dyDescent="0.25">
      <c r="A194" s="67" t="str">
        <f>+Tabla2[[#This Row],[NOMBRE DE CLIENTE]]&amp;Tabla2[[#This Row],[ESPACIO]]&amp;Tabla2[[#This Row],[CCF]]&amp;Tabla2[[#This Row],[ESPACIO]]&amp;Tabla2[[#This Row],[N° DOC]]</f>
        <v>DIDEA S.A DE C.V. CCF 388</v>
      </c>
      <c r="B194" s="67" t="s">
        <v>697</v>
      </c>
      <c r="C194" s="67" t="s">
        <v>414</v>
      </c>
      <c r="D194" s="67">
        <f>+VLOOKUP(Tabla2[[#This Row],[NOMBRE DE CLIENTE]],[3]CATALOGO!$A:$B,2,0)</f>
        <v>11030117</v>
      </c>
      <c r="E194" t="s">
        <v>87</v>
      </c>
      <c r="F194" t="s">
        <v>119</v>
      </c>
      <c r="G194" t="s">
        <v>1</v>
      </c>
      <c r="H194" t="s">
        <v>0</v>
      </c>
      <c r="I194" t="s">
        <v>497</v>
      </c>
      <c r="J194" t="s">
        <v>498</v>
      </c>
      <c r="K194">
        <v>388</v>
      </c>
      <c r="L194">
        <v>388</v>
      </c>
      <c r="M194" t="s">
        <v>274</v>
      </c>
      <c r="N194" t="s">
        <v>275</v>
      </c>
      <c r="O194" s="3">
        <v>0</v>
      </c>
      <c r="P194" s="3">
        <v>0</v>
      </c>
      <c r="Q194" s="3">
        <v>141.1</v>
      </c>
      <c r="R194" s="3">
        <v>18.343</v>
      </c>
      <c r="S194" s="3">
        <v>0</v>
      </c>
      <c r="T194" s="3">
        <v>0</v>
      </c>
      <c r="U194" s="3">
        <v>159.44</v>
      </c>
      <c r="V194" t="s">
        <v>1</v>
      </c>
      <c r="W194">
        <v>158.03</v>
      </c>
    </row>
    <row r="195" spans="1:23" x14ac:dyDescent="0.25">
      <c r="A195" s="67" t="str">
        <f>+Tabla2[[#This Row],[NOMBRE DE CLIENTE]]&amp;Tabla2[[#This Row],[ESPACIO]]&amp;Tabla2[[#This Row],[CCF]]&amp;Tabla2[[#This Row],[ESPACIO]]&amp;Tabla2[[#This Row],[N° DOC]]</f>
        <v>PROGURSA S.A DE C.V. CCF 387</v>
      </c>
      <c r="B195" s="67" t="s">
        <v>697</v>
      </c>
      <c r="C195" s="67" t="s">
        <v>414</v>
      </c>
      <c r="D195" s="67">
        <f>+VLOOKUP(Tabla2[[#This Row],[NOMBRE DE CLIENTE]],[3]CATALOGO!$A:$B,2,0)</f>
        <v>11030137</v>
      </c>
      <c r="E195" t="s">
        <v>87</v>
      </c>
      <c r="F195" t="s">
        <v>123</v>
      </c>
      <c r="G195" t="s">
        <v>1</v>
      </c>
      <c r="H195" t="s">
        <v>0</v>
      </c>
      <c r="I195" t="s">
        <v>497</v>
      </c>
      <c r="J195" t="s">
        <v>498</v>
      </c>
      <c r="K195">
        <v>387</v>
      </c>
      <c r="L195">
        <v>387</v>
      </c>
      <c r="M195" t="s">
        <v>266</v>
      </c>
      <c r="N195" t="s">
        <v>267</v>
      </c>
      <c r="O195" s="3">
        <v>0</v>
      </c>
      <c r="P195" s="3">
        <v>0</v>
      </c>
      <c r="Q195" s="3">
        <v>150</v>
      </c>
      <c r="R195" s="3">
        <v>19.5</v>
      </c>
      <c r="S195" s="3">
        <v>0</v>
      </c>
      <c r="T195" s="3">
        <v>0</v>
      </c>
      <c r="U195" s="3">
        <v>169.5</v>
      </c>
      <c r="V195" t="s">
        <v>1</v>
      </c>
      <c r="W195">
        <v>168</v>
      </c>
    </row>
    <row r="196" spans="1:23" x14ac:dyDescent="0.25">
      <c r="A196" s="67" t="str">
        <f>+Tabla2[[#This Row],[NOMBRE DE CLIENTE]]&amp;Tabla2[[#This Row],[ESPACIO]]&amp;Tabla2[[#This Row],[CCF]]&amp;Tabla2[[#This Row],[ESPACIO]]&amp;Tabla2[[#This Row],[N° DOC]]</f>
        <v>SUPER REPUESTOS EL SALVADOR S.A DE C.V. CCF 386</v>
      </c>
      <c r="B196" s="67" t="s">
        <v>697</v>
      </c>
      <c r="C196" s="67" t="s">
        <v>414</v>
      </c>
      <c r="D196" s="67">
        <f>+VLOOKUP(Tabla2[[#This Row],[NOMBRE DE CLIENTE]],[3]CATALOGO!$A:$B,2,0)</f>
        <v>11030115</v>
      </c>
      <c r="E196" t="s">
        <v>87</v>
      </c>
      <c r="F196" t="s">
        <v>123</v>
      </c>
      <c r="G196" t="s">
        <v>1</v>
      </c>
      <c r="H196" t="s">
        <v>0</v>
      </c>
      <c r="I196" t="s">
        <v>497</v>
      </c>
      <c r="J196" t="s">
        <v>498</v>
      </c>
      <c r="K196">
        <v>386</v>
      </c>
      <c r="L196">
        <v>386</v>
      </c>
      <c r="M196" t="s">
        <v>264</v>
      </c>
      <c r="N196" t="s">
        <v>265</v>
      </c>
      <c r="O196" s="3">
        <v>0</v>
      </c>
      <c r="P196" s="3">
        <v>0</v>
      </c>
      <c r="Q196" s="3">
        <v>220</v>
      </c>
      <c r="R196" s="3">
        <v>28.6</v>
      </c>
      <c r="S196" s="3">
        <v>0</v>
      </c>
      <c r="T196" s="3">
        <v>0</v>
      </c>
      <c r="U196" s="3">
        <v>248.6</v>
      </c>
      <c r="V196" t="s">
        <v>1</v>
      </c>
      <c r="W196">
        <v>246.4</v>
      </c>
    </row>
    <row r="197" spans="1:23" x14ac:dyDescent="0.25">
      <c r="A197" s="67" t="str">
        <f>+Tabla2[[#This Row],[NOMBRE DE CLIENTE]]&amp;Tabla2[[#This Row],[ESPACIO]]&amp;Tabla2[[#This Row],[CCF]]&amp;Tabla2[[#This Row],[ESPACIO]]&amp;Tabla2[[#This Row],[N° DOC]]</f>
        <v>BANCO AGRICOLA, S.A. CCF 385</v>
      </c>
      <c r="B197" s="67" t="s">
        <v>697</v>
      </c>
      <c r="C197" s="67" t="s">
        <v>414</v>
      </c>
      <c r="D197" s="67">
        <f>+VLOOKUP(Tabla2[[#This Row],[NOMBRE DE CLIENTE]],[3]CATALOGO!$A:$B,2,0)</f>
        <v>11030106</v>
      </c>
      <c r="E197" t="s">
        <v>87</v>
      </c>
      <c r="F197" t="s">
        <v>123</v>
      </c>
      <c r="G197" t="s">
        <v>1</v>
      </c>
      <c r="H197" t="s">
        <v>0</v>
      </c>
      <c r="I197" t="s">
        <v>497</v>
      </c>
      <c r="J197" t="s">
        <v>498</v>
      </c>
      <c r="K197">
        <v>385</v>
      </c>
      <c r="L197">
        <v>385</v>
      </c>
      <c r="M197" t="s">
        <v>244</v>
      </c>
      <c r="N197" t="s">
        <v>245</v>
      </c>
      <c r="O197" s="3">
        <v>0</v>
      </c>
      <c r="P197" s="3">
        <v>0</v>
      </c>
      <c r="Q197" s="3">
        <v>357.36</v>
      </c>
      <c r="R197" s="3">
        <v>46.456800000000001</v>
      </c>
      <c r="S197" s="3">
        <v>0</v>
      </c>
      <c r="T197" s="3">
        <v>0</v>
      </c>
      <c r="U197" s="3">
        <v>403.82</v>
      </c>
      <c r="V197" t="s">
        <v>1</v>
      </c>
      <c r="W197">
        <v>400.24</v>
      </c>
    </row>
    <row r="198" spans="1:23" x14ac:dyDescent="0.25">
      <c r="A198" s="67" t="str">
        <f>+Tabla2[[#This Row],[NOMBRE DE CLIENTE]]&amp;Tabla2[[#This Row],[ESPACIO]]&amp;Tabla2[[#This Row],[CCF]]&amp;Tabla2[[#This Row],[ESPACIO]]&amp;Tabla2[[#This Row],[N° DOC]]</f>
        <v>BANCO AGRICOLA, S.A. CCF 384</v>
      </c>
      <c r="B198" s="67" t="s">
        <v>697</v>
      </c>
      <c r="C198" s="67" t="s">
        <v>414</v>
      </c>
      <c r="D198" s="67">
        <f>+VLOOKUP(Tabla2[[#This Row],[NOMBRE DE CLIENTE]],[3]CATALOGO!$A:$B,2,0)</f>
        <v>11030106</v>
      </c>
      <c r="E198" t="s">
        <v>87</v>
      </c>
      <c r="F198" t="s">
        <v>123</v>
      </c>
      <c r="G198" t="s">
        <v>1</v>
      </c>
      <c r="H198" t="s">
        <v>0</v>
      </c>
      <c r="I198" t="s">
        <v>497</v>
      </c>
      <c r="J198" t="s">
        <v>498</v>
      </c>
      <c r="K198">
        <v>384</v>
      </c>
      <c r="L198">
        <v>384</v>
      </c>
      <c r="M198" t="s">
        <v>244</v>
      </c>
      <c r="N198" t="s">
        <v>245</v>
      </c>
      <c r="O198" s="3">
        <v>0</v>
      </c>
      <c r="P198" s="3">
        <v>0</v>
      </c>
      <c r="Q198" s="3">
        <v>152.65</v>
      </c>
      <c r="R198" s="3">
        <v>19.8445</v>
      </c>
      <c r="S198" s="3">
        <v>0</v>
      </c>
      <c r="T198" s="3">
        <v>0</v>
      </c>
      <c r="U198" s="3">
        <v>172.49</v>
      </c>
      <c r="V198" t="s">
        <v>1</v>
      </c>
      <c r="W198">
        <v>170.97</v>
      </c>
    </row>
    <row r="199" spans="1:23" x14ac:dyDescent="0.25">
      <c r="A199" s="67" t="str">
        <f>+Tabla2[[#This Row],[NOMBRE DE CLIENTE]]&amp;Tabla2[[#This Row],[ESPACIO]]&amp;Tabla2[[#This Row],[CCF]]&amp;Tabla2[[#This Row],[ESPACIO]]&amp;Tabla2[[#This Row],[N° DOC]]</f>
        <v>BANCO AGRICOLA, S.A. CCF 383</v>
      </c>
      <c r="B199" s="67" t="s">
        <v>697</v>
      </c>
      <c r="C199" s="67" t="s">
        <v>414</v>
      </c>
      <c r="D199" s="67">
        <f>+VLOOKUP(Tabla2[[#This Row],[NOMBRE DE CLIENTE]],[3]CATALOGO!$A:$B,2,0)</f>
        <v>11030106</v>
      </c>
      <c r="E199" t="s">
        <v>87</v>
      </c>
      <c r="F199" t="s">
        <v>123</v>
      </c>
      <c r="G199" t="s">
        <v>1</v>
      </c>
      <c r="H199" t="s">
        <v>0</v>
      </c>
      <c r="I199" t="s">
        <v>497</v>
      </c>
      <c r="J199" t="s">
        <v>498</v>
      </c>
      <c r="K199">
        <v>383</v>
      </c>
      <c r="L199">
        <v>383</v>
      </c>
      <c r="M199" t="s">
        <v>244</v>
      </c>
      <c r="N199" t="s">
        <v>245</v>
      </c>
      <c r="O199" s="3">
        <v>0</v>
      </c>
      <c r="P199" s="3">
        <v>0</v>
      </c>
      <c r="Q199" s="3">
        <v>152.65</v>
      </c>
      <c r="R199" s="3">
        <v>19.8445</v>
      </c>
      <c r="S199" s="3">
        <v>0</v>
      </c>
      <c r="T199" s="3">
        <v>0</v>
      </c>
      <c r="U199" s="3">
        <v>172.49</v>
      </c>
      <c r="V199" t="s">
        <v>1</v>
      </c>
      <c r="W199">
        <v>170.97</v>
      </c>
    </row>
    <row r="200" spans="1:23" x14ac:dyDescent="0.25">
      <c r="E200" t="s">
        <v>518</v>
      </c>
      <c r="O200" s="2"/>
      <c r="P200" s="2"/>
      <c r="Q200" s="66">
        <f>SUBTOTAL(109,Tabla2[V. GRAVADA])</f>
        <v>142562.56000000003</v>
      </c>
      <c r="R200" s="66">
        <f>SUBTOTAL(109,Tabla2[D.FISCAL])</f>
        <v>18533.132799999999</v>
      </c>
      <c r="S200" s="2"/>
      <c r="T200" s="2"/>
      <c r="U200" s="66">
        <f>SUBTOTAL(109,Tabla2[VENTA TOTAL])</f>
        <v>161095.64000000007</v>
      </c>
      <c r="V200"/>
    </row>
  </sheetData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5"/>
  <sheetViews>
    <sheetView workbookViewId="0">
      <selection activeCell="D14" sqref="D14"/>
    </sheetView>
  </sheetViews>
  <sheetFormatPr baseColWidth="10" defaultRowHeight="15" x14ac:dyDescent="0.25"/>
  <cols>
    <col min="1" max="1" width="21.28515625" bestFit="1" customWidth="1"/>
    <col min="2" max="2" width="14" bestFit="1" customWidth="1"/>
    <col min="3" max="4" width="10" customWidth="1"/>
  </cols>
  <sheetData>
    <row r="1" spans="1:2" x14ac:dyDescent="0.25">
      <c r="A1" s="72" t="s">
        <v>17</v>
      </c>
      <c r="B1" t="s">
        <v>701</v>
      </c>
    </row>
    <row r="3" spans="1:2" x14ac:dyDescent="0.25">
      <c r="A3" s="72" t="s">
        <v>695</v>
      </c>
    </row>
    <row r="4" spans="1:2" x14ac:dyDescent="0.25">
      <c r="A4" s="72" t="s">
        <v>696</v>
      </c>
      <c r="B4" t="s">
        <v>518</v>
      </c>
    </row>
    <row r="5" spans="1:2" x14ac:dyDescent="0.25">
      <c r="A5" t="s">
        <v>694</v>
      </c>
      <c r="B5" s="2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D23"/>
  <sheetViews>
    <sheetView showGridLines="0" zoomScale="85" zoomScaleNormal="85" workbookViewId="0">
      <selection activeCell="D3" sqref="D3"/>
    </sheetView>
  </sheetViews>
  <sheetFormatPr baseColWidth="10" defaultRowHeight="15" x14ac:dyDescent="0.25"/>
  <cols>
    <col min="2" max="2" width="15.140625" customWidth="1"/>
    <col min="3" max="3" width="3.85546875" customWidth="1"/>
    <col min="4" max="4" width="25.85546875" style="6" customWidth="1"/>
    <col min="5" max="5" width="7.85546875" customWidth="1"/>
  </cols>
  <sheetData>
    <row r="1" spans="2:4" ht="79.5" customHeight="1" thickBot="1" x14ac:dyDescent="0.3"/>
    <row r="2" spans="2:4" x14ac:dyDescent="0.25">
      <c r="B2" s="7" t="s">
        <v>17</v>
      </c>
      <c r="D2" s="13" t="s">
        <v>788</v>
      </c>
    </row>
    <row r="3" spans="2:4" x14ac:dyDescent="0.25">
      <c r="B3" s="7" t="s">
        <v>2</v>
      </c>
      <c r="D3" s="14" t="s">
        <v>804</v>
      </c>
    </row>
    <row r="4" spans="2:4" x14ac:dyDescent="0.25">
      <c r="B4" s="7" t="s">
        <v>3</v>
      </c>
      <c r="D4" s="16" t="s">
        <v>1</v>
      </c>
    </row>
    <row r="5" spans="2:4" x14ac:dyDescent="0.25">
      <c r="B5" s="25" t="s">
        <v>4</v>
      </c>
      <c r="D5" s="16" t="s">
        <v>378</v>
      </c>
    </row>
    <row r="6" spans="2:4" x14ac:dyDescent="0.25">
      <c r="B6" s="8" t="s">
        <v>85</v>
      </c>
      <c r="D6" s="16" t="s">
        <v>501</v>
      </c>
    </row>
    <row r="7" spans="2:4" x14ac:dyDescent="0.25">
      <c r="B7" s="8" t="s">
        <v>84</v>
      </c>
      <c r="D7" s="16" t="s">
        <v>502</v>
      </c>
    </row>
    <row r="8" spans="2:4" x14ac:dyDescent="0.25">
      <c r="B8" s="8" t="s">
        <v>83</v>
      </c>
      <c r="D8" s="18"/>
    </row>
    <row r="9" spans="2:4" x14ac:dyDescent="0.25">
      <c r="B9" s="7" t="s">
        <v>82</v>
      </c>
      <c r="D9" s="19">
        <f>+D8</f>
        <v>0</v>
      </c>
    </row>
    <row r="10" spans="2:4" x14ac:dyDescent="0.25">
      <c r="B10" s="7" t="s">
        <v>83</v>
      </c>
      <c r="D10" s="27">
        <f>+D9</f>
        <v>0</v>
      </c>
    </row>
    <row r="11" spans="2:4" x14ac:dyDescent="0.25">
      <c r="B11" s="7" t="s">
        <v>82</v>
      </c>
      <c r="D11" s="22">
        <f>+D10</f>
        <v>0</v>
      </c>
    </row>
    <row r="12" spans="2:4" x14ac:dyDescent="0.25">
      <c r="B12" s="7" t="s">
        <v>81</v>
      </c>
      <c r="D12" s="22">
        <v>0</v>
      </c>
    </row>
    <row r="13" spans="2:4" x14ac:dyDescent="0.25">
      <c r="B13" s="7" t="s">
        <v>80</v>
      </c>
      <c r="D13" s="10">
        <v>0</v>
      </c>
    </row>
    <row r="14" spans="2:4" x14ac:dyDescent="0.25">
      <c r="B14" s="7" t="s">
        <v>79</v>
      </c>
      <c r="D14" s="21">
        <v>0</v>
      </c>
    </row>
    <row r="15" spans="2:4" x14ac:dyDescent="0.25">
      <c r="B15" s="26" t="s">
        <v>78</v>
      </c>
      <c r="D15" s="21">
        <v>0</v>
      </c>
    </row>
    <row r="16" spans="2:4" x14ac:dyDescent="0.25">
      <c r="B16" s="26" t="s">
        <v>77</v>
      </c>
      <c r="D16" s="15">
        <v>0</v>
      </c>
    </row>
    <row r="17" spans="2:4" x14ac:dyDescent="0.25">
      <c r="B17" s="26" t="s">
        <v>76</v>
      </c>
      <c r="D17" s="10">
        <v>0</v>
      </c>
    </row>
    <row r="18" spans="2:4" x14ac:dyDescent="0.25">
      <c r="B18" s="26" t="s">
        <v>75</v>
      </c>
      <c r="D18" s="10">
        <v>0</v>
      </c>
    </row>
    <row r="19" spans="2:4" x14ac:dyDescent="0.25">
      <c r="B19" s="26" t="s">
        <v>74</v>
      </c>
      <c r="D19" s="10">
        <v>0</v>
      </c>
    </row>
    <row r="20" spans="2:4" x14ac:dyDescent="0.25">
      <c r="B20" s="26" t="s">
        <v>73</v>
      </c>
      <c r="D20" s="10">
        <v>0</v>
      </c>
    </row>
    <row r="21" spans="2:4" x14ac:dyDescent="0.25">
      <c r="B21" s="26" t="s">
        <v>72</v>
      </c>
      <c r="D21" s="10">
        <v>0</v>
      </c>
    </row>
    <row r="22" spans="2:4" x14ac:dyDescent="0.25">
      <c r="B22" s="26" t="s">
        <v>19</v>
      </c>
      <c r="D22" s="23">
        <f>SUM(D13:D21)</f>
        <v>0</v>
      </c>
    </row>
    <row r="23" spans="2:4" ht="15.75" thickBot="1" x14ac:dyDescent="0.3">
      <c r="B23" s="26" t="s">
        <v>18</v>
      </c>
      <c r="D23" s="24" t="s">
        <v>71</v>
      </c>
    </row>
  </sheetData>
  <dataValidations count="1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66"/>
  <sheetViews>
    <sheetView zoomScaleNormal="100" workbookViewId="0">
      <selection activeCell="Q66" sqref="Q66"/>
    </sheetView>
  </sheetViews>
  <sheetFormatPr baseColWidth="10" defaultRowHeight="15" x14ac:dyDescent="0.25"/>
  <cols>
    <col min="3" max="3" width="15.42578125" customWidth="1"/>
    <col min="4" max="4" width="14.28515625" customWidth="1"/>
    <col min="5" max="5" width="14.5703125" hidden="1" customWidth="1"/>
    <col min="6" max="6" width="11.42578125" hidden="1" customWidth="1"/>
    <col min="7" max="7" width="14.140625" style="70" hidden="1" customWidth="1"/>
    <col min="8" max="8" width="11.42578125" style="70" hidden="1" customWidth="1"/>
    <col min="9" max="9" width="15.140625" style="70" hidden="1" customWidth="1"/>
    <col min="10" max="11" width="11.42578125" style="70" customWidth="1"/>
    <col min="12" max="12" width="11.7109375" style="3" customWidth="1"/>
    <col min="13" max="13" width="13.42578125" style="3" customWidth="1"/>
    <col min="14" max="14" width="15.5703125" style="3" customWidth="1"/>
    <col min="15" max="17" width="14.85546875" style="3" customWidth="1"/>
    <col min="18" max="18" width="11.42578125" style="3"/>
    <col min="19" max="19" width="12.42578125" style="3" customWidth="1"/>
    <col min="20" max="20" width="12.85546875" style="3" customWidth="1"/>
    <col min="21" max="21" width="15.28515625" style="3" customWidth="1"/>
    <col min="22" max="22" width="15" style="3" customWidth="1"/>
    <col min="23" max="23" width="15.140625" style="3" customWidth="1"/>
    <col min="24" max="24" width="12.5703125" bestFit="1" customWidth="1"/>
  </cols>
  <sheetData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85</v>
      </c>
      <c r="F2" t="s">
        <v>84</v>
      </c>
      <c r="G2" s="70" t="s">
        <v>83</v>
      </c>
      <c r="H2" s="70" t="s">
        <v>82</v>
      </c>
      <c r="I2" s="70" t="s">
        <v>92</v>
      </c>
      <c r="J2" s="70" t="s">
        <v>93</v>
      </c>
      <c r="K2" s="70" t="s">
        <v>81</v>
      </c>
      <c r="L2" s="3" t="s">
        <v>80</v>
      </c>
      <c r="M2" s="3" t="s">
        <v>79</v>
      </c>
      <c r="N2" s="3" t="s">
        <v>78</v>
      </c>
      <c r="O2" s="3" t="s">
        <v>77</v>
      </c>
      <c r="P2" s="3" t="s">
        <v>700</v>
      </c>
      <c r="Q2" s="3" t="s">
        <v>840</v>
      </c>
      <c r="R2" s="3" t="s">
        <v>76</v>
      </c>
      <c r="S2" s="3" t="s">
        <v>75</v>
      </c>
      <c r="T2" s="3" t="s">
        <v>74</v>
      </c>
      <c r="U2" s="3" t="s">
        <v>73</v>
      </c>
      <c r="V2" s="3" t="s">
        <v>72</v>
      </c>
      <c r="W2" s="3" t="s">
        <v>19</v>
      </c>
      <c r="X2" t="s">
        <v>18</v>
      </c>
    </row>
    <row r="3" spans="1:24" x14ac:dyDescent="0.25">
      <c r="A3" t="s">
        <v>788</v>
      </c>
      <c r="B3" t="s">
        <v>804</v>
      </c>
      <c r="C3" t="s">
        <v>1</v>
      </c>
      <c r="D3" t="s">
        <v>378</v>
      </c>
      <c r="E3" t="s">
        <v>501</v>
      </c>
      <c r="F3" t="s">
        <v>502</v>
      </c>
      <c r="G3" s="70">
        <v>46</v>
      </c>
      <c r="H3" s="70">
        <v>46</v>
      </c>
      <c r="I3" s="70">
        <v>46</v>
      </c>
      <c r="J3" s="70">
        <v>46</v>
      </c>
      <c r="L3" s="3">
        <v>0</v>
      </c>
      <c r="M3" s="3">
        <v>0</v>
      </c>
      <c r="N3" s="3">
        <v>0</v>
      </c>
      <c r="O3" s="3">
        <v>0</v>
      </c>
      <c r="P3" s="3">
        <f>+Tabla3[[#This Row],[V GRAVADAS]]/1.13</f>
        <v>0</v>
      </c>
      <c r="Q3" s="3">
        <f>+Tabla3[[#This Row],[Columna1]]*0.13</f>
        <v>0</v>
      </c>
      <c r="R3" s="3">
        <v>0</v>
      </c>
      <c r="S3" s="3">
        <v>0</v>
      </c>
      <c r="T3" s="3">
        <v>1057.1099999999999</v>
      </c>
      <c r="U3" s="3">
        <v>0</v>
      </c>
      <c r="V3" s="3">
        <v>0</v>
      </c>
      <c r="W3" s="3">
        <v>1057.1099999999999</v>
      </c>
      <c r="X3" t="s">
        <v>71</v>
      </c>
    </row>
    <row r="4" spans="1:24" x14ac:dyDescent="0.25">
      <c r="A4" t="s">
        <v>788</v>
      </c>
      <c r="B4" t="s">
        <v>804</v>
      </c>
      <c r="C4" t="s">
        <v>1</v>
      </c>
      <c r="D4" t="s">
        <v>131</v>
      </c>
      <c r="E4" t="s">
        <v>499</v>
      </c>
      <c r="F4" t="s">
        <v>827</v>
      </c>
      <c r="G4" s="70">
        <v>3</v>
      </c>
      <c r="H4" s="70">
        <v>3</v>
      </c>
      <c r="I4" s="70">
        <v>3</v>
      </c>
      <c r="J4" s="70">
        <v>3</v>
      </c>
      <c r="L4" s="3">
        <v>385</v>
      </c>
      <c r="M4" s="3">
        <v>0</v>
      </c>
      <c r="N4" s="3">
        <v>0</v>
      </c>
      <c r="O4" s="3">
        <v>0</v>
      </c>
      <c r="P4" s="3">
        <f>+Tabla3[[#This Row],[V GRAVADAS]]/1.13</f>
        <v>0</v>
      </c>
      <c r="Q4" s="3">
        <f>+Tabla3[[#This Row],[Columna1]]*0.13</f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385</v>
      </c>
      <c r="X4" t="s">
        <v>71</v>
      </c>
    </row>
    <row r="5" spans="1:24" x14ac:dyDescent="0.25">
      <c r="A5" t="s">
        <v>788</v>
      </c>
      <c r="B5" t="s">
        <v>828</v>
      </c>
      <c r="C5" t="s">
        <v>1</v>
      </c>
      <c r="D5" t="s">
        <v>131</v>
      </c>
      <c r="E5" t="s">
        <v>499</v>
      </c>
      <c r="F5" t="s">
        <v>827</v>
      </c>
      <c r="G5" s="70">
        <v>2</v>
      </c>
      <c r="H5" s="70">
        <v>2</v>
      </c>
      <c r="I5" s="70">
        <v>2</v>
      </c>
      <c r="J5" s="70">
        <v>2</v>
      </c>
      <c r="L5" s="3">
        <v>0</v>
      </c>
      <c r="M5" s="3">
        <v>0</v>
      </c>
      <c r="N5" s="3">
        <v>0</v>
      </c>
      <c r="O5" s="3">
        <v>183.75</v>
      </c>
      <c r="P5" s="3">
        <f>+Tabla3[[#This Row],[V GRAVADAS]]/1.13</f>
        <v>162.61061946902657</v>
      </c>
      <c r="Q5" s="3">
        <f>+Tabla3[[#This Row],[Columna1]]*0.13</f>
        <v>21.139380530973455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183.75</v>
      </c>
      <c r="X5" t="s">
        <v>71</v>
      </c>
    </row>
    <row r="6" spans="1:24" x14ac:dyDescent="0.25">
      <c r="A6" t="s">
        <v>788</v>
      </c>
      <c r="B6" t="s">
        <v>794</v>
      </c>
      <c r="C6" t="s">
        <v>1</v>
      </c>
      <c r="D6" t="s">
        <v>131</v>
      </c>
      <c r="E6" t="s">
        <v>499</v>
      </c>
      <c r="F6" t="s">
        <v>827</v>
      </c>
      <c r="G6" s="70">
        <v>1</v>
      </c>
      <c r="H6" s="70">
        <v>1</v>
      </c>
      <c r="I6" s="70">
        <v>1</v>
      </c>
      <c r="J6" s="70">
        <v>1</v>
      </c>
      <c r="L6" s="3">
        <v>0</v>
      </c>
      <c r="M6" s="3">
        <v>0</v>
      </c>
      <c r="N6" s="3">
        <v>0</v>
      </c>
      <c r="O6" s="3">
        <v>289.2</v>
      </c>
      <c r="P6" s="3">
        <f>+Tabla3[[#This Row],[V GRAVADAS]]/1.13</f>
        <v>255.92920353982302</v>
      </c>
      <c r="Q6" s="3">
        <f>+Tabla3[[#This Row],[Columna1]]*0.13</f>
        <v>33.270796460176996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289.2</v>
      </c>
      <c r="X6" t="s">
        <v>71</v>
      </c>
    </row>
    <row r="7" spans="1:24" x14ac:dyDescent="0.25">
      <c r="A7" t="s">
        <v>744</v>
      </c>
      <c r="B7" t="s">
        <v>751</v>
      </c>
      <c r="C7" t="s">
        <v>1</v>
      </c>
      <c r="D7" t="s">
        <v>131</v>
      </c>
      <c r="E7" t="s">
        <v>503</v>
      </c>
      <c r="F7" t="s">
        <v>504</v>
      </c>
      <c r="G7" s="70">
        <v>150</v>
      </c>
      <c r="H7" s="70">
        <v>150</v>
      </c>
      <c r="I7" s="70">
        <v>150</v>
      </c>
      <c r="J7" s="70">
        <v>150</v>
      </c>
      <c r="L7" s="3">
        <v>0</v>
      </c>
      <c r="M7" s="3">
        <v>0</v>
      </c>
      <c r="N7" s="3">
        <v>0</v>
      </c>
      <c r="O7" s="3">
        <v>183.75</v>
      </c>
      <c r="P7" s="3">
        <f>+Tabla3[[#This Row],[V GRAVADAS]]/1.13</f>
        <v>162.61061946902657</v>
      </c>
      <c r="Q7" s="3">
        <f>+Tabla3[[#This Row],[Columna1]]*0.13</f>
        <v>21.139380530973455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183.75</v>
      </c>
      <c r="X7" t="s">
        <v>71</v>
      </c>
    </row>
    <row r="8" spans="1:24" x14ac:dyDescent="0.25">
      <c r="A8" t="s">
        <v>744</v>
      </c>
      <c r="B8" t="s">
        <v>751</v>
      </c>
      <c r="C8" t="s">
        <v>1</v>
      </c>
      <c r="D8" t="s">
        <v>131</v>
      </c>
      <c r="E8" t="s">
        <v>503</v>
      </c>
      <c r="F8" t="s">
        <v>504</v>
      </c>
      <c r="G8" s="70">
        <v>149</v>
      </c>
      <c r="H8" s="70">
        <v>149</v>
      </c>
      <c r="I8" s="70">
        <v>149</v>
      </c>
      <c r="J8" s="70">
        <v>149</v>
      </c>
      <c r="L8" s="3">
        <v>0</v>
      </c>
      <c r="M8" s="3">
        <v>0</v>
      </c>
      <c r="N8" s="3">
        <v>0</v>
      </c>
      <c r="O8" s="3">
        <v>247</v>
      </c>
      <c r="P8" s="3">
        <f>+Tabla3[[#This Row],[V GRAVADAS]]/1.13</f>
        <v>218.5840707964602</v>
      </c>
      <c r="Q8" s="3">
        <f>+Tabla3[[#This Row],[Columna1]]*0.13</f>
        <v>28.415929203539825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247</v>
      </c>
      <c r="X8" t="s">
        <v>71</v>
      </c>
    </row>
    <row r="9" spans="1:24" x14ac:dyDescent="0.25">
      <c r="A9" t="s">
        <v>744</v>
      </c>
      <c r="B9" t="s">
        <v>750</v>
      </c>
      <c r="C9" t="s">
        <v>1</v>
      </c>
      <c r="D9" t="s">
        <v>131</v>
      </c>
      <c r="E9" t="s">
        <v>503</v>
      </c>
      <c r="F9" t="s">
        <v>504</v>
      </c>
      <c r="G9" s="70">
        <v>148</v>
      </c>
      <c r="H9" s="70">
        <v>148</v>
      </c>
      <c r="I9" s="70">
        <v>148</v>
      </c>
      <c r="J9" s="70">
        <v>148</v>
      </c>
      <c r="L9" s="3">
        <v>385</v>
      </c>
      <c r="M9" s="3">
        <v>0</v>
      </c>
      <c r="N9" s="3">
        <v>0</v>
      </c>
      <c r="O9" s="3">
        <v>0</v>
      </c>
      <c r="P9" s="3">
        <f>+Tabla3[[#This Row],[V GRAVADAS]]/1.13</f>
        <v>0</v>
      </c>
      <c r="Q9" s="3">
        <f>+Tabla3[[#This Row],[Columna1]]*0.13</f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385</v>
      </c>
      <c r="X9" t="s">
        <v>71</v>
      </c>
    </row>
    <row r="10" spans="1:24" x14ac:dyDescent="0.25">
      <c r="A10" t="s">
        <v>744</v>
      </c>
      <c r="B10" t="s">
        <v>745</v>
      </c>
      <c r="C10" t="s">
        <v>1</v>
      </c>
      <c r="D10" t="s">
        <v>131</v>
      </c>
      <c r="E10" t="s">
        <v>503</v>
      </c>
      <c r="F10" t="s">
        <v>504</v>
      </c>
      <c r="G10" s="70">
        <v>147</v>
      </c>
      <c r="H10" s="70">
        <v>147</v>
      </c>
      <c r="I10" s="70">
        <v>147</v>
      </c>
      <c r="J10" s="70">
        <v>147</v>
      </c>
      <c r="L10" s="3">
        <v>0</v>
      </c>
      <c r="M10" s="3">
        <v>0</v>
      </c>
      <c r="N10" s="3">
        <v>0</v>
      </c>
      <c r="O10" s="3">
        <v>247</v>
      </c>
      <c r="P10" s="3">
        <f>+Tabla3[[#This Row],[V GRAVADAS]]/1.13</f>
        <v>218.5840707964602</v>
      </c>
      <c r="Q10" s="3">
        <f>+Tabla3[[#This Row],[Columna1]]*0.13</f>
        <v>28.415929203539825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247</v>
      </c>
      <c r="X10" t="s">
        <v>71</v>
      </c>
    </row>
    <row r="11" spans="1:24" x14ac:dyDescent="0.25">
      <c r="A11" t="s">
        <v>744</v>
      </c>
      <c r="B11" t="s">
        <v>745</v>
      </c>
      <c r="C11" t="s">
        <v>1</v>
      </c>
      <c r="D11" t="s">
        <v>378</v>
      </c>
      <c r="E11" t="s">
        <v>501</v>
      </c>
      <c r="F11" t="s">
        <v>502</v>
      </c>
      <c r="G11" s="70">
        <v>45</v>
      </c>
      <c r="H11" s="70">
        <v>45</v>
      </c>
      <c r="I11" s="70">
        <v>45</v>
      </c>
      <c r="J11" s="70">
        <v>45</v>
      </c>
      <c r="L11" s="3">
        <v>0</v>
      </c>
      <c r="M11" s="3">
        <v>0</v>
      </c>
      <c r="N11" s="3">
        <v>0</v>
      </c>
      <c r="O11" s="3">
        <v>0</v>
      </c>
      <c r="P11" s="3">
        <f>+Tabla3[[#This Row],[V GRAVADAS]]/1.13</f>
        <v>0</v>
      </c>
      <c r="Q11" s="3">
        <f>+Tabla3[[#This Row],[Columna1]]*0.13</f>
        <v>0</v>
      </c>
      <c r="R11" s="3">
        <v>0</v>
      </c>
      <c r="S11" s="3">
        <v>0</v>
      </c>
      <c r="T11" s="3">
        <v>1057.1099999999999</v>
      </c>
      <c r="U11" s="3">
        <v>0</v>
      </c>
      <c r="V11" s="3">
        <v>0</v>
      </c>
      <c r="W11" s="3">
        <v>1057.1099999999999</v>
      </c>
      <c r="X11" t="s">
        <v>71</v>
      </c>
    </row>
    <row r="12" spans="1:24" x14ac:dyDescent="0.25">
      <c r="A12" t="s">
        <v>701</v>
      </c>
      <c r="B12" t="s">
        <v>725</v>
      </c>
      <c r="C12" t="s">
        <v>1</v>
      </c>
      <c r="D12" t="s">
        <v>378</v>
      </c>
      <c r="E12" t="s">
        <v>501</v>
      </c>
      <c r="F12" t="s">
        <v>502</v>
      </c>
      <c r="G12" s="70">
        <v>44</v>
      </c>
      <c r="H12" s="70">
        <v>44</v>
      </c>
      <c r="I12" s="70">
        <v>44</v>
      </c>
      <c r="J12" s="70">
        <v>44</v>
      </c>
      <c r="L12" s="3">
        <v>0</v>
      </c>
      <c r="M12" s="3">
        <v>0</v>
      </c>
      <c r="N12" s="3">
        <v>0</v>
      </c>
      <c r="O12" s="3">
        <v>0</v>
      </c>
      <c r="P12" s="3">
        <f>+Tabla3[[#This Row],[V GRAVADAS]]/1.13</f>
        <v>0</v>
      </c>
      <c r="Q12" s="3">
        <f>+Tabla3[[#This Row],[Columna1]]*0.13</f>
        <v>0</v>
      </c>
      <c r="R12" s="3">
        <v>0</v>
      </c>
      <c r="S12" s="3">
        <v>0</v>
      </c>
      <c r="T12" s="3">
        <v>1057.1099999999999</v>
      </c>
      <c r="U12" s="3">
        <v>0</v>
      </c>
      <c r="V12" s="3">
        <v>0</v>
      </c>
      <c r="W12" s="3">
        <v>1057.1099999999999</v>
      </c>
      <c r="X12" t="s">
        <v>71</v>
      </c>
    </row>
    <row r="13" spans="1:24" x14ac:dyDescent="0.25">
      <c r="A13" t="s">
        <v>701</v>
      </c>
      <c r="B13" t="s">
        <v>725</v>
      </c>
      <c r="C13" t="s">
        <v>1</v>
      </c>
      <c r="D13" t="s">
        <v>131</v>
      </c>
      <c r="E13" t="s">
        <v>503</v>
      </c>
      <c r="F13" t="s">
        <v>504</v>
      </c>
      <c r="G13" s="70">
        <v>146</v>
      </c>
      <c r="H13" s="70">
        <v>146</v>
      </c>
      <c r="I13" s="70">
        <v>146</v>
      </c>
      <c r="J13" s="70">
        <v>146</v>
      </c>
      <c r="L13" s="3">
        <v>0</v>
      </c>
      <c r="M13" s="3">
        <v>0</v>
      </c>
      <c r="N13" s="3">
        <v>0</v>
      </c>
      <c r="O13" s="3">
        <v>289.2</v>
      </c>
      <c r="P13" s="3">
        <f>+Tabla3[[#This Row],[V GRAVADAS]]/1.13</f>
        <v>255.92920353982302</v>
      </c>
      <c r="Q13" s="3">
        <f>+Tabla3[[#This Row],[Columna1]]*0.13</f>
        <v>33.270796460176996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289.2</v>
      </c>
      <c r="X13" t="s">
        <v>71</v>
      </c>
    </row>
    <row r="14" spans="1:24" x14ac:dyDescent="0.25">
      <c r="A14" t="s">
        <v>701</v>
      </c>
      <c r="B14" t="s">
        <v>726</v>
      </c>
      <c r="C14" t="s">
        <v>1</v>
      </c>
      <c r="D14" t="s">
        <v>131</v>
      </c>
      <c r="E14" t="s">
        <v>503</v>
      </c>
      <c r="F14" t="s">
        <v>504</v>
      </c>
      <c r="G14" s="70">
        <v>145</v>
      </c>
      <c r="H14" s="70">
        <v>145</v>
      </c>
      <c r="I14" s="70">
        <v>145</v>
      </c>
      <c r="J14" s="70">
        <v>145</v>
      </c>
      <c r="L14" s="3">
        <v>0</v>
      </c>
      <c r="M14" s="3">
        <v>0</v>
      </c>
      <c r="N14" s="3">
        <v>0</v>
      </c>
      <c r="O14" s="3">
        <v>183.75</v>
      </c>
      <c r="P14" s="3">
        <f>+Tabla3[[#This Row],[V GRAVADAS]]/1.13</f>
        <v>162.61061946902657</v>
      </c>
      <c r="Q14" s="3">
        <f>+Tabla3[[#This Row],[Columna1]]*0.13</f>
        <v>21.139380530973455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183.75</v>
      </c>
      <c r="X14" t="s">
        <v>71</v>
      </c>
    </row>
    <row r="15" spans="1:24" x14ac:dyDescent="0.25">
      <c r="A15" t="s">
        <v>701</v>
      </c>
      <c r="B15" t="s">
        <v>713</v>
      </c>
      <c r="C15" t="s">
        <v>1</v>
      </c>
      <c r="D15" t="s">
        <v>131</v>
      </c>
      <c r="E15" t="s">
        <v>503</v>
      </c>
      <c r="F15" t="s">
        <v>504</v>
      </c>
      <c r="G15" s="70">
        <v>144</v>
      </c>
      <c r="H15" s="70">
        <v>144</v>
      </c>
      <c r="I15" s="70">
        <v>144</v>
      </c>
      <c r="J15" s="70">
        <v>144</v>
      </c>
      <c r="L15" s="3">
        <v>385</v>
      </c>
      <c r="M15" s="3">
        <v>0</v>
      </c>
      <c r="N15" s="3">
        <v>0</v>
      </c>
      <c r="O15" s="3">
        <v>0</v>
      </c>
      <c r="P15" s="3">
        <f>+Tabla3[[#This Row],[V GRAVADAS]]/1.13</f>
        <v>0</v>
      </c>
      <c r="Q15" s="3">
        <f>+Tabla3[[#This Row],[Columna1]]*0.13</f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385</v>
      </c>
      <c r="X15" t="s">
        <v>71</v>
      </c>
    </row>
    <row r="16" spans="1:24" x14ac:dyDescent="0.25">
      <c r="A16" t="s">
        <v>701</v>
      </c>
      <c r="B16" t="s">
        <v>703</v>
      </c>
      <c r="C16" t="s">
        <v>1</v>
      </c>
      <c r="D16" t="s">
        <v>131</v>
      </c>
      <c r="E16" t="s">
        <v>503</v>
      </c>
      <c r="F16" t="s">
        <v>504</v>
      </c>
      <c r="G16" s="70">
        <v>143</v>
      </c>
      <c r="H16" s="70">
        <v>143</v>
      </c>
      <c r="I16" s="70">
        <v>143</v>
      </c>
      <c r="J16" s="70">
        <v>143</v>
      </c>
      <c r="L16" s="3">
        <v>0</v>
      </c>
      <c r="M16" s="3">
        <v>0</v>
      </c>
      <c r="N16" s="3">
        <v>0</v>
      </c>
      <c r="O16" s="3">
        <v>289.2</v>
      </c>
      <c r="P16" s="3">
        <f>+Tabla3[[#This Row],[V GRAVADAS]]/1.13</f>
        <v>255.92920353982302</v>
      </c>
      <c r="Q16" s="3">
        <f>+Tabla3[[#This Row],[Columna1]]*0.13</f>
        <v>33.270796460176996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289.2</v>
      </c>
      <c r="X16" t="s">
        <v>71</v>
      </c>
    </row>
    <row r="17" spans="1:24" x14ac:dyDescent="0.25">
      <c r="A17" t="s">
        <v>701</v>
      </c>
      <c r="B17" t="s">
        <v>703</v>
      </c>
      <c r="C17" t="s">
        <v>1</v>
      </c>
      <c r="D17" t="s">
        <v>131</v>
      </c>
      <c r="E17" t="s">
        <v>503</v>
      </c>
      <c r="F17" t="s">
        <v>504</v>
      </c>
      <c r="G17" s="70">
        <v>142</v>
      </c>
      <c r="H17" s="70">
        <v>142</v>
      </c>
      <c r="I17" s="70">
        <v>142</v>
      </c>
      <c r="J17" s="70">
        <v>142</v>
      </c>
      <c r="L17" s="3">
        <v>0</v>
      </c>
      <c r="M17" s="3">
        <v>0</v>
      </c>
      <c r="N17" s="3">
        <v>0</v>
      </c>
      <c r="O17" s="3">
        <v>0</v>
      </c>
      <c r="P17" s="3">
        <f>+Tabla3[[#This Row],[V GRAVADAS]]/1.13</f>
        <v>0</v>
      </c>
      <c r="Q17" s="3">
        <f>+Tabla3[[#This Row],[Columna1]]*0.13</f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t="s">
        <v>71</v>
      </c>
    </row>
    <row r="18" spans="1:24" x14ac:dyDescent="0.25">
      <c r="A18" t="s">
        <v>701</v>
      </c>
      <c r="B18" t="s">
        <v>703</v>
      </c>
      <c r="C18" t="s">
        <v>1</v>
      </c>
      <c r="D18" t="s">
        <v>131</v>
      </c>
      <c r="E18" t="s">
        <v>503</v>
      </c>
      <c r="F18" t="s">
        <v>504</v>
      </c>
      <c r="G18" s="70">
        <v>141</v>
      </c>
      <c r="H18" s="70">
        <v>141</v>
      </c>
      <c r="I18" s="70">
        <v>141</v>
      </c>
      <c r="J18" s="70">
        <v>141</v>
      </c>
      <c r="L18" s="3">
        <v>0</v>
      </c>
      <c r="M18" s="3">
        <v>0</v>
      </c>
      <c r="N18" s="3">
        <v>0</v>
      </c>
      <c r="O18" s="3">
        <v>247</v>
      </c>
      <c r="P18" s="3">
        <f>+Tabla3[[#This Row],[V GRAVADAS]]/1.13</f>
        <v>218.5840707964602</v>
      </c>
      <c r="Q18" s="3">
        <f>+Tabla3[[#This Row],[Columna1]]*0.13</f>
        <v>28.415929203539825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247</v>
      </c>
      <c r="X18" t="s">
        <v>71</v>
      </c>
    </row>
    <row r="19" spans="1:24" x14ac:dyDescent="0.25">
      <c r="A19" t="s">
        <v>567</v>
      </c>
      <c r="B19" t="s">
        <v>631</v>
      </c>
      <c r="C19" t="s">
        <v>1</v>
      </c>
      <c r="D19" t="s">
        <v>131</v>
      </c>
      <c r="E19" t="s">
        <v>503</v>
      </c>
      <c r="F19" t="s">
        <v>504</v>
      </c>
      <c r="G19" s="70">
        <v>137</v>
      </c>
      <c r="H19" s="70">
        <v>137</v>
      </c>
      <c r="I19" s="70">
        <v>137</v>
      </c>
      <c r="J19" s="70">
        <v>137</v>
      </c>
      <c r="L19" s="3">
        <v>0</v>
      </c>
      <c r="M19" s="3">
        <v>0</v>
      </c>
      <c r="N19" s="3">
        <v>0</v>
      </c>
      <c r="O19" s="3">
        <v>247</v>
      </c>
      <c r="P19" s="3">
        <f>+Tabla3[[#This Row],[V GRAVADAS]]/1.13</f>
        <v>218.5840707964602</v>
      </c>
      <c r="Q19" s="3">
        <f>+Tabla3[[#This Row],[Columna1]]*0.13</f>
        <v>28.415929203539825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247</v>
      </c>
      <c r="X19" t="s">
        <v>71</v>
      </c>
    </row>
    <row r="20" spans="1:24" x14ac:dyDescent="0.25">
      <c r="A20" t="s">
        <v>567</v>
      </c>
      <c r="B20" t="s">
        <v>631</v>
      </c>
      <c r="C20" t="s">
        <v>1</v>
      </c>
      <c r="D20" t="s">
        <v>131</v>
      </c>
      <c r="E20" t="s">
        <v>503</v>
      </c>
      <c r="F20" t="s">
        <v>504</v>
      </c>
      <c r="G20" s="70">
        <v>138</v>
      </c>
      <c r="H20" s="70">
        <v>138</v>
      </c>
      <c r="I20" s="70">
        <v>138</v>
      </c>
      <c r="J20" s="70">
        <v>138</v>
      </c>
      <c r="L20" s="3">
        <v>0</v>
      </c>
      <c r="M20" s="3">
        <v>0</v>
      </c>
      <c r="N20" s="3">
        <v>0</v>
      </c>
      <c r="O20" s="3">
        <v>289.2</v>
      </c>
      <c r="P20" s="3">
        <f>+Tabla3[[#This Row],[V GRAVADAS]]/1.13</f>
        <v>255.92920353982302</v>
      </c>
      <c r="Q20" s="3">
        <f>+Tabla3[[#This Row],[Columna1]]*0.13</f>
        <v>33.270796460176996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289.2</v>
      </c>
      <c r="X20" t="s">
        <v>71</v>
      </c>
    </row>
    <row r="21" spans="1:24" x14ac:dyDescent="0.25">
      <c r="A21" t="s">
        <v>567</v>
      </c>
      <c r="B21" t="s">
        <v>626</v>
      </c>
      <c r="C21" t="s">
        <v>1</v>
      </c>
      <c r="D21" t="s">
        <v>131</v>
      </c>
      <c r="E21" t="s">
        <v>503</v>
      </c>
      <c r="F21" t="s">
        <v>504</v>
      </c>
      <c r="G21" s="70">
        <v>139</v>
      </c>
      <c r="H21" s="70">
        <v>139</v>
      </c>
      <c r="I21" s="70">
        <v>139</v>
      </c>
      <c r="J21" s="70">
        <v>139</v>
      </c>
      <c r="L21" s="3">
        <v>385</v>
      </c>
      <c r="M21" s="3">
        <v>0</v>
      </c>
      <c r="N21" s="3">
        <v>0</v>
      </c>
      <c r="O21" s="3">
        <v>0</v>
      </c>
      <c r="P21" s="3">
        <f>+Tabla3[[#This Row],[V GRAVADAS]]/1.13</f>
        <v>0</v>
      </c>
      <c r="Q21" s="3">
        <f>+Tabla3[[#This Row],[Columna1]]*0.13</f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385</v>
      </c>
      <c r="X21" t="s">
        <v>71</v>
      </c>
    </row>
    <row r="22" spans="1:24" x14ac:dyDescent="0.25">
      <c r="A22" t="s">
        <v>567</v>
      </c>
      <c r="B22" t="s">
        <v>632</v>
      </c>
      <c r="C22" t="s">
        <v>1</v>
      </c>
      <c r="D22" t="s">
        <v>131</v>
      </c>
      <c r="E22" t="s">
        <v>503</v>
      </c>
      <c r="F22" t="s">
        <v>504</v>
      </c>
      <c r="G22" s="70">
        <v>140</v>
      </c>
      <c r="H22" s="70">
        <v>140</v>
      </c>
      <c r="I22" s="70">
        <v>140</v>
      </c>
      <c r="J22" s="70">
        <v>140</v>
      </c>
      <c r="L22" s="3">
        <v>0</v>
      </c>
      <c r="M22" s="3">
        <v>0</v>
      </c>
      <c r="N22" s="3">
        <v>0</v>
      </c>
      <c r="O22" s="3">
        <v>183.75</v>
      </c>
      <c r="P22" s="3">
        <f>+Tabla3[[#This Row],[V GRAVADAS]]/1.13</f>
        <v>162.61061946902657</v>
      </c>
      <c r="Q22" s="3">
        <f>+Tabla3[[#This Row],[Columna1]]*0.13</f>
        <v>21.139380530973455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183.75</v>
      </c>
      <c r="X22" t="s">
        <v>71</v>
      </c>
    </row>
    <row r="23" spans="1:24" x14ac:dyDescent="0.25">
      <c r="A23" t="s">
        <v>567</v>
      </c>
      <c r="B23" t="s">
        <v>631</v>
      </c>
      <c r="C23" t="s">
        <v>1</v>
      </c>
      <c r="D23" t="s">
        <v>378</v>
      </c>
      <c r="E23" t="s">
        <v>501</v>
      </c>
      <c r="F23" t="s">
        <v>502</v>
      </c>
      <c r="G23" s="70">
        <v>42</v>
      </c>
      <c r="H23" s="70">
        <v>42</v>
      </c>
      <c r="I23" s="70">
        <v>42</v>
      </c>
      <c r="J23" s="70">
        <v>42</v>
      </c>
      <c r="L23" s="3">
        <v>0</v>
      </c>
      <c r="M23" s="3">
        <v>0</v>
      </c>
      <c r="N23" s="3">
        <v>0</v>
      </c>
      <c r="O23" s="3">
        <v>0</v>
      </c>
      <c r="P23" s="3">
        <f>+Tabla3[[#This Row],[V GRAVADAS]]/1.13</f>
        <v>0</v>
      </c>
      <c r="Q23" s="3">
        <f>+Tabla3[[#This Row],[Columna1]]*0.13</f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t="s">
        <v>71</v>
      </c>
    </row>
    <row r="24" spans="1:24" x14ac:dyDescent="0.25">
      <c r="A24" t="s">
        <v>567</v>
      </c>
      <c r="B24" t="s">
        <v>631</v>
      </c>
      <c r="C24" t="s">
        <v>1</v>
      </c>
      <c r="D24" t="s">
        <v>378</v>
      </c>
      <c r="E24" t="s">
        <v>501</v>
      </c>
      <c r="F24" t="s">
        <v>502</v>
      </c>
      <c r="G24" s="70">
        <v>43</v>
      </c>
      <c r="H24" s="70">
        <v>43</v>
      </c>
      <c r="I24" s="70">
        <v>43</v>
      </c>
      <c r="J24" s="70">
        <v>43</v>
      </c>
      <c r="L24" s="3">
        <v>0</v>
      </c>
      <c r="M24" s="3">
        <v>0</v>
      </c>
      <c r="N24" s="3">
        <v>0</v>
      </c>
      <c r="O24" s="3">
        <v>0</v>
      </c>
      <c r="P24" s="3">
        <f>+Tabla3[[#This Row],[V GRAVADAS]]/1.13</f>
        <v>0</v>
      </c>
      <c r="Q24" s="3">
        <f>+Tabla3[[#This Row],[Columna1]]*0.13</f>
        <v>0</v>
      </c>
      <c r="R24" s="3">
        <v>0</v>
      </c>
      <c r="S24" s="3">
        <v>0</v>
      </c>
      <c r="T24" s="3">
        <v>1057.1099999999999</v>
      </c>
      <c r="U24" s="3">
        <v>0</v>
      </c>
      <c r="V24" s="3">
        <v>0</v>
      </c>
      <c r="W24" s="3">
        <v>1057.1099999999999</v>
      </c>
      <c r="X24" t="s">
        <v>71</v>
      </c>
    </row>
    <row r="25" spans="1:24" x14ac:dyDescent="0.25">
      <c r="A25" t="s">
        <v>516</v>
      </c>
      <c r="B25" t="s">
        <v>519</v>
      </c>
      <c r="C25" t="s">
        <v>1</v>
      </c>
      <c r="D25" t="s">
        <v>378</v>
      </c>
      <c r="E25" t="s">
        <v>501</v>
      </c>
      <c r="F25" t="s">
        <v>502</v>
      </c>
      <c r="G25" s="70">
        <v>41</v>
      </c>
      <c r="H25" s="70">
        <v>41</v>
      </c>
      <c r="I25" s="70">
        <v>41</v>
      </c>
      <c r="J25" s="70">
        <v>41</v>
      </c>
      <c r="L25" s="3">
        <v>0</v>
      </c>
      <c r="M25" s="3">
        <v>0</v>
      </c>
      <c r="N25" s="3">
        <v>0</v>
      </c>
      <c r="O25" s="3">
        <v>0</v>
      </c>
      <c r="P25" s="3">
        <f>+Tabla3[[#This Row],[V GRAVADAS]]/1.13</f>
        <v>0</v>
      </c>
      <c r="Q25" s="3">
        <f>+Tabla3[[#This Row],[Columna1]]*0.13</f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t="s">
        <v>71</v>
      </c>
    </row>
    <row r="26" spans="1:24" x14ac:dyDescent="0.25">
      <c r="A26" t="s">
        <v>516</v>
      </c>
      <c r="B26" t="s">
        <v>519</v>
      </c>
      <c r="C26" t="s">
        <v>1</v>
      </c>
      <c r="D26" t="s">
        <v>378</v>
      </c>
      <c r="E26" t="s">
        <v>501</v>
      </c>
      <c r="F26" t="s">
        <v>502</v>
      </c>
      <c r="G26" s="70">
        <v>40</v>
      </c>
      <c r="H26" s="70">
        <v>40</v>
      </c>
      <c r="I26" s="70">
        <v>40</v>
      </c>
      <c r="J26" s="70">
        <v>40</v>
      </c>
      <c r="L26" s="3">
        <v>0</v>
      </c>
      <c r="M26" s="3">
        <v>0</v>
      </c>
      <c r="N26" s="3">
        <v>0</v>
      </c>
      <c r="O26" s="3">
        <v>0</v>
      </c>
      <c r="P26" s="3">
        <f>+Tabla3[[#This Row],[V GRAVADAS]]/1.13</f>
        <v>0</v>
      </c>
      <c r="Q26" s="3">
        <f>+Tabla3[[#This Row],[Columna1]]*0.13</f>
        <v>0</v>
      </c>
      <c r="R26" s="3">
        <v>0</v>
      </c>
      <c r="S26" s="3">
        <v>0</v>
      </c>
      <c r="T26" s="3">
        <v>1057.1099999999999</v>
      </c>
      <c r="U26" s="3">
        <v>0</v>
      </c>
      <c r="V26" s="3">
        <v>0</v>
      </c>
      <c r="W26" s="3">
        <v>1057.1099999999999</v>
      </c>
      <c r="X26" t="s">
        <v>71</v>
      </c>
    </row>
    <row r="27" spans="1:24" x14ac:dyDescent="0.25">
      <c r="A27" t="s">
        <v>516</v>
      </c>
      <c r="B27" t="s">
        <v>529</v>
      </c>
      <c r="C27" t="s">
        <v>1</v>
      </c>
      <c r="D27" t="s">
        <v>131</v>
      </c>
      <c r="E27" t="s">
        <v>503</v>
      </c>
      <c r="F27" t="s">
        <v>504</v>
      </c>
      <c r="G27" s="70">
        <v>136</v>
      </c>
      <c r="H27" s="70">
        <v>136</v>
      </c>
      <c r="I27" s="70">
        <v>136</v>
      </c>
      <c r="J27" s="70">
        <v>136</v>
      </c>
      <c r="L27" s="3">
        <v>385</v>
      </c>
      <c r="M27" s="3">
        <v>0</v>
      </c>
      <c r="N27" s="3">
        <v>0</v>
      </c>
      <c r="O27" s="3">
        <v>0</v>
      </c>
      <c r="P27" s="3">
        <f>+Tabla3[[#This Row],[V GRAVADAS]]/1.13</f>
        <v>0</v>
      </c>
      <c r="Q27" s="3">
        <f>+Tabla3[[#This Row],[Columna1]]*0.13</f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385</v>
      </c>
      <c r="X27" t="s">
        <v>71</v>
      </c>
    </row>
    <row r="28" spans="1:24" x14ac:dyDescent="0.25">
      <c r="A28" t="s">
        <v>516</v>
      </c>
      <c r="B28" t="s">
        <v>528</v>
      </c>
      <c r="C28" t="s">
        <v>1</v>
      </c>
      <c r="D28" t="s">
        <v>131</v>
      </c>
      <c r="E28" t="s">
        <v>503</v>
      </c>
      <c r="F28" t="s">
        <v>504</v>
      </c>
      <c r="G28" s="70">
        <v>135</v>
      </c>
      <c r="H28" s="70">
        <v>135</v>
      </c>
      <c r="I28" s="70">
        <v>135</v>
      </c>
      <c r="J28" s="70">
        <v>135</v>
      </c>
      <c r="L28" s="3">
        <v>0</v>
      </c>
      <c r="M28" s="3">
        <v>0</v>
      </c>
      <c r="N28" s="3">
        <v>0</v>
      </c>
      <c r="O28" s="3">
        <v>183.75</v>
      </c>
      <c r="P28" s="3">
        <f>+Tabla3[[#This Row],[V GRAVADAS]]/1.13</f>
        <v>162.61061946902657</v>
      </c>
      <c r="Q28" s="3">
        <f>+Tabla3[[#This Row],[Columna1]]*0.13</f>
        <v>21.139380530973455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183.75</v>
      </c>
      <c r="X28" t="s">
        <v>71</v>
      </c>
    </row>
    <row r="29" spans="1:24" x14ac:dyDescent="0.25">
      <c r="A29" t="s">
        <v>516</v>
      </c>
      <c r="B29" t="s">
        <v>519</v>
      </c>
      <c r="C29" t="s">
        <v>1</v>
      </c>
      <c r="D29" t="s">
        <v>131</v>
      </c>
      <c r="E29" t="s">
        <v>503</v>
      </c>
      <c r="F29" t="s">
        <v>504</v>
      </c>
      <c r="G29" s="70">
        <v>134</v>
      </c>
      <c r="H29" s="70">
        <v>134</v>
      </c>
      <c r="I29" s="70">
        <v>134</v>
      </c>
      <c r="J29" s="70">
        <v>134</v>
      </c>
      <c r="L29" s="3">
        <v>0</v>
      </c>
      <c r="M29" s="3">
        <v>0</v>
      </c>
      <c r="N29" s="3">
        <v>0</v>
      </c>
      <c r="O29" s="3">
        <v>0</v>
      </c>
      <c r="P29" s="3">
        <f>+Tabla3[[#This Row],[V GRAVADAS]]/1.13</f>
        <v>0</v>
      </c>
      <c r="Q29" s="3">
        <f>+Tabla3[[#This Row],[Columna1]]*0.13</f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t="s">
        <v>71</v>
      </c>
    </row>
    <row r="30" spans="1:24" x14ac:dyDescent="0.25">
      <c r="A30" t="s">
        <v>516</v>
      </c>
      <c r="B30" t="s">
        <v>519</v>
      </c>
      <c r="C30" t="s">
        <v>1</v>
      </c>
      <c r="D30" t="s">
        <v>131</v>
      </c>
      <c r="E30" t="s">
        <v>503</v>
      </c>
      <c r="F30" t="s">
        <v>504</v>
      </c>
      <c r="G30" s="70">
        <v>133</v>
      </c>
      <c r="H30" s="70">
        <v>133</v>
      </c>
      <c r="I30" s="70">
        <v>133</v>
      </c>
      <c r="J30" s="70">
        <v>133</v>
      </c>
      <c r="L30" s="3">
        <v>0</v>
      </c>
      <c r="M30" s="3">
        <v>0</v>
      </c>
      <c r="N30" s="3">
        <v>0</v>
      </c>
      <c r="O30" s="3">
        <v>0</v>
      </c>
      <c r="P30" s="3">
        <f>+Tabla3[[#This Row],[V GRAVADAS]]/1.13</f>
        <v>0</v>
      </c>
      <c r="Q30" s="3">
        <f>+Tabla3[[#This Row],[Columna1]]*0.13</f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t="s">
        <v>71</v>
      </c>
    </row>
    <row r="31" spans="1:24" x14ac:dyDescent="0.25">
      <c r="A31" t="s">
        <v>516</v>
      </c>
      <c r="B31" t="s">
        <v>519</v>
      </c>
      <c r="C31" t="s">
        <v>1</v>
      </c>
      <c r="D31" t="s">
        <v>131</v>
      </c>
      <c r="E31" t="s">
        <v>503</v>
      </c>
      <c r="F31" t="s">
        <v>504</v>
      </c>
      <c r="G31" s="70">
        <v>132</v>
      </c>
      <c r="H31" s="70">
        <v>132</v>
      </c>
      <c r="I31" s="70">
        <v>132</v>
      </c>
      <c r="J31" s="70">
        <v>132</v>
      </c>
      <c r="L31" s="3">
        <v>0</v>
      </c>
      <c r="M31" s="3">
        <v>0</v>
      </c>
      <c r="N31" s="3">
        <v>0</v>
      </c>
      <c r="O31" s="3">
        <v>289.2</v>
      </c>
      <c r="P31" s="3">
        <f>+Tabla3[[#This Row],[V GRAVADAS]]/1.13</f>
        <v>255.92920353982302</v>
      </c>
      <c r="Q31" s="3">
        <f>+Tabla3[[#This Row],[Columna1]]*0.13</f>
        <v>33.270796460176996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289.2</v>
      </c>
      <c r="X31" t="s">
        <v>71</v>
      </c>
    </row>
    <row r="32" spans="1:24" x14ac:dyDescent="0.25">
      <c r="A32" t="s">
        <v>516</v>
      </c>
      <c r="B32" t="s">
        <v>519</v>
      </c>
      <c r="C32" t="s">
        <v>1</v>
      </c>
      <c r="D32" t="s">
        <v>131</v>
      </c>
      <c r="E32" t="s">
        <v>503</v>
      </c>
      <c r="F32" t="s">
        <v>504</v>
      </c>
      <c r="G32" s="70">
        <v>131</v>
      </c>
      <c r="H32" s="70">
        <v>131</v>
      </c>
      <c r="I32" s="70">
        <v>131</v>
      </c>
      <c r="J32" s="70">
        <v>131</v>
      </c>
      <c r="L32" s="3">
        <v>0</v>
      </c>
      <c r="M32" s="3">
        <v>0</v>
      </c>
      <c r="N32" s="3">
        <v>0</v>
      </c>
      <c r="O32" s="3">
        <v>131</v>
      </c>
      <c r="P32" s="3">
        <f>+Tabla3[[#This Row],[V GRAVADAS]]/1.13</f>
        <v>115.92920353982302</v>
      </c>
      <c r="Q32" s="3">
        <f>+Tabla3[[#This Row],[Columna1]]*0.13</f>
        <v>15.070796460176993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131</v>
      </c>
      <c r="X32" t="s">
        <v>71</v>
      </c>
    </row>
    <row r="33" spans="1:24" x14ac:dyDescent="0.25">
      <c r="A33" t="s">
        <v>87</v>
      </c>
      <c r="B33" t="s">
        <v>123</v>
      </c>
      <c r="C33" t="s">
        <v>1</v>
      </c>
      <c r="D33" t="s">
        <v>131</v>
      </c>
      <c r="E33" t="s">
        <v>503</v>
      </c>
      <c r="F33" t="s">
        <v>504</v>
      </c>
      <c r="G33" s="70">
        <v>127</v>
      </c>
      <c r="H33" s="70">
        <v>127</v>
      </c>
      <c r="I33" s="70">
        <v>127</v>
      </c>
      <c r="J33" s="70">
        <v>127</v>
      </c>
      <c r="L33" s="3">
        <v>0</v>
      </c>
      <c r="M33" s="3">
        <v>0</v>
      </c>
      <c r="N33" s="3">
        <v>0</v>
      </c>
      <c r="O33" s="3">
        <v>289.2</v>
      </c>
      <c r="P33" s="3">
        <f>+Tabla3[[#This Row],[V GRAVADAS]]/1.13</f>
        <v>255.92920353982302</v>
      </c>
      <c r="Q33" s="3">
        <f>+Tabla3[[#This Row],[Columna1]]*0.13</f>
        <v>33.270796460176996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289.2</v>
      </c>
      <c r="X33" t="s">
        <v>71</v>
      </c>
    </row>
    <row r="34" spans="1:24" x14ac:dyDescent="0.25">
      <c r="A34" t="s">
        <v>87</v>
      </c>
      <c r="B34" t="s">
        <v>123</v>
      </c>
      <c r="C34" t="s">
        <v>1</v>
      </c>
      <c r="D34" t="s">
        <v>131</v>
      </c>
      <c r="E34" t="s">
        <v>503</v>
      </c>
      <c r="F34" t="s">
        <v>504</v>
      </c>
      <c r="G34" s="70">
        <v>128</v>
      </c>
      <c r="H34" s="70">
        <v>128</v>
      </c>
      <c r="I34" s="70">
        <v>128</v>
      </c>
      <c r="J34" s="70">
        <v>128</v>
      </c>
      <c r="L34" s="3">
        <v>0</v>
      </c>
      <c r="M34" s="3">
        <v>0</v>
      </c>
      <c r="N34" s="3">
        <v>0</v>
      </c>
      <c r="O34" s="3">
        <v>247</v>
      </c>
      <c r="P34" s="3">
        <f>+Tabla3[[#This Row],[V GRAVADAS]]/1.13</f>
        <v>218.5840707964602</v>
      </c>
      <c r="Q34" s="3">
        <f>+Tabla3[[#This Row],[Columna1]]*0.13</f>
        <v>28.415929203539825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247</v>
      </c>
      <c r="X34" t="s">
        <v>71</v>
      </c>
    </row>
    <row r="35" spans="1:24" x14ac:dyDescent="0.25">
      <c r="A35" t="s">
        <v>87</v>
      </c>
      <c r="B35" t="s">
        <v>111</v>
      </c>
      <c r="C35" t="s">
        <v>1</v>
      </c>
      <c r="D35" t="s">
        <v>131</v>
      </c>
      <c r="E35" t="s">
        <v>503</v>
      </c>
      <c r="F35" t="s">
        <v>504</v>
      </c>
      <c r="G35" s="70">
        <v>129</v>
      </c>
      <c r="H35" s="70">
        <v>129</v>
      </c>
      <c r="I35" s="70">
        <v>129</v>
      </c>
      <c r="J35" s="70">
        <v>129</v>
      </c>
      <c r="L35" s="3">
        <v>0</v>
      </c>
      <c r="M35" s="3">
        <v>0</v>
      </c>
      <c r="N35" s="3">
        <v>0</v>
      </c>
      <c r="O35" s="3">
        <v>183.75</v>
      </c>
      <c r="P35" s="3">
        <f>+Tabla3[[#This Row],[V GRAVADAS]]/1.13</f>
        <v>162.61061946902657</v>
      </c>
      <c r="Q35" s="3">
        <f>+Tabla3[[#This Row],[Columna1]]*0.13</f>
        <v>21.139380530973455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183.75</v>
      </c>
      <c r="X35" t="s">
        <v>71</v>
      </c>
    </row>
    <row r="36" spans="1:24" x14ac:dyDescent="0.25">
      <c r="A36" t="s">
        <v>87</v>
      </c>
      <c r="B36" t="s">
        <v>115</v>
      </c>
      <c r="C36" t="s">
        <v>1</v>
      </c>
      <c r="D36" t="s">
        <v>131</v>
      </c>
      <c r="E36" t="s">
        <v>503</v>
      </c>
      <c r="F36" t="s">
        <v>504</v>
      </c>
      <c r="G36" s="70">
        <v>130</v>
      </c>
      <c r="H36" s="70">
        <v>130</v>
      </c>
      <c r="I36" s="70">
        <v>130</v>
      </c>
      <c r="J36" s="70">
        <v>130</v>
      </c>
      <c r="L36" s="3">
        <v>385</v>
      </c>
      <c r="M36" s="3">
        <v>0</v>
      </c>
      <c r="N36" s="3">
        <v>0</v>
      </c>
      <c r="O36" s="3">
        <v>0</v>
      </c>
      <c r="P36" s="3">
        <f>+Tabla3[[#This Row],[V GRAVADAS]]/1.13</f>
        <v>0</v>
      </c>
      <c r="Q36" s="3">
        <f>+Tabla3[[#This Row],[Columna1]]*0.13</f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385</v>
      </c>
      <c r="X36" t="s">
        <v>71</v>
      </c>
    </row>
    <row r="37" spans="1:24" x14ac:dyDescent="0.25">
      <c r="A37" t="s">
        <v>87</v>
      </c>
      <c r="B37" t="s">
        <v>123</v>
      </c>
      <c r="C37" t="s">
        <v>1</v>
      </c>
      <c r="D37" t="s">
        <v>378</v>
      </c>
      <c r="E37" t="s">
        <v>501</v>
      </c>
      <c r="F37" t="s">
        <v>502</v>
      </c>
      <c r="G37" s="70">
        <v>39</v>
      </c>
      <c r="H37" s="70">
        <v>39</v>
      </c>
      <c r="I37" s="70">
        <v>39</v>
      </c>
      <c r="J37" s="70">
        <v>39</v>
      </c>
      <c r="L37" s="3">
        <v>0</v>
      </c>
      <c r="M37" s="3">
        <v>0</v>
      </c>
      <c r="N37" s="3">
        <v>0</v>
      </c>
      <c r="O37" s="3">
        <v>0</v>
      </c>
      <c r="P37" s="3">
        <f>+Tabla3[[#This Row],[V GRAVADAS]]/1.13</f>
        <v>0</v>
      </c>
      <c r="Q37" s="3">
        <f>+Tabla3[[#This Row],[Columna1]]*0.13</f>
        <v>0</v>
      </c>
      <c r="R37" s="3">
        <v>0</v>
      </c>
      <c r="S37" s="3">
        <v>0</v>
      </c>
      <c r="T37" s="3">
        <v>1057.1099999999999</v>
      </c>
      <c r="U37" s="3">
        <v>0</v>
      </c>
      <c r="V37" s="3">
        <v>0</v>
      </c>
      <c r="W37" s="3">
        <v>1057.1099999999999</v>
      </c>
      <c r="X37" t="s">
        <v>71</v>
      </c>
    </row>
    <row r="38" spans="1:24" x14ac:dyDescent="0.25">
      <c r="A38" t="s">
        <v>294</v>
      </c>
      <c r="B38" t="s">
        <v>583</v>
      </c>
      <c r="C38" t="s">
        <v>1</v>
      </c>
      <c r="D38" t="s">
        <v>378</v>
      </c>
      <c r="E38" t="s">
        <v>501</v>
      </c>
      <c r="F38" t="s">
        <v>502</v>
      </c>
      <c r="G38" s="70" t="s">
        <v>584</v>
      </c>
      <c r="H38" s="70" t="s">
        <v>584</v>
      </c>
      <c r="I38" s="70" t="s">
        <v>584</v>
      </c>
      <c r="J38" s="70" t="s">
        <v>584</v>
      </c>
      <c r="L38" s="3">
        <v>0</v>
      </c>
      <c r="M38" s="3" t="s">
        <v>129</v>
      </c>
      <c r="N38" s="3" t="s">
        <v>129</v>
      </c>
      <c r="O38" s="3" t="s">
        <v>129</v>
      </c>
      <c r="P38" s="3">
        <f>+Tabla3[[#This Row],[V GRAVADAS]]/1.13</f>
        <v>0</v>
      </c>
      <c r="Q38" s="3">
        <f>+Tabla3[[#This Row],[Columna1]]*0.13</f>
        <v>0</v>
      </c>
      <c r="R38" s="3" t="s">
        <v>129</v>
      </c>
      <c r="S38" s="3" t="s">
        <v>129</v>
      </c>
      <c r="T38" s="3">
        <v>1057.1099999999999</v>
      </c>
      <c r="U38" s="3" t="s">
        <v>129</v>
      </c>
      <c r="V38" s="3" t="s">
        <v>129</v>
      </c>
      <c r="W38" s="3">
        <f t="shared" ref="W38:W56" si="0">SUM(L38:V38)</f>
        <v>1057.1099999999999</v>
      </c>
      <c r="X38" t="s">
        <v>71</v>
      </c>
    </row>
    <row r="39" spans="1:24" x14ac:dyDescent="0.25">
      <c r="A39" t="s">
        <v>294</v>
      </c>
      <c r="B39" t="s">
        <v>583</v>
      </c>
      <c r="C39" t="s">
        <v>1</v>
      </c>
      <c r="D39" t="s">
        <v>131</v>
      </c>
      <c r="E39" t="s">
        <v>503</v>
      </c>
      <c r="F39" t="s">
        <v>504</v>
      </c>
      <c r="G39" s="70" t="s">
        <v>585</v>
      </c>
      <c r="H39" s="70" t="s">
        <v>585</v>
      </c>
      <c r="I39" s="70" t="s">
        <v>585</v>
      </c>
      <c r="J39" s="70" t="s">
        <v>585</v>
      </c>
      <c r="L39" s="3">
        <v>0</v>
      </c>
      <c r="M39" s="3" t="s">
        <v>129</v>
      </c>
      <c r="N39" s="3" t="s">
        <v>129</v>
      </c>
      <c r="O39" s="3">
        <v>0</v>
      </c>
      <c r="P39" s="3">
        <f>+Tabla3[[#This Row],[V GRAVADAS]]/1.13</f>
        <v>0</v>
      </c>
      <c r="Q39" s="3">
        <f>+Tabla3[[#This Row],[Columna1]]*0.13</f>
        <v>0</v>
      </c>
      <c r="R39" s="3" t="s">
        <v>129</v>
      </c>
      <c r="S39" s="3" t="s">
        <v>129</v>
      </c>
      <c r="T39" s="3" t="s">
        <v>129</v>
      </c>
      <c r="U39" s="3" t="s">
        <v>129</v>
      </c>
      <c r="V39" s="3" t="s">
        <v>129</v>
      </c>
      <c r="W39" s="3">
        <f t="shared" si="0"/>
        <v>0</v>
      </c>
      <c r="X39" t="s">
        <v>71</v>
      </c>
    </row>
    <row r="40" spans="1:24" x14ac:dyDescent="0.25">
      <c r="A40" t="s">
        <v>294</v>
      </c>
      <c r="B40" t="s">
        <v>583</v>
      </c>
      <c r="C40" t="s">
        <v>1</v>
      </c>
      <c r="D40" t="s">
        <v>131</v>
      </c>
      <c r="E40" t="s">
        <v>503</v>
      </c>
      <c r="F40" t="s">
        <v>504</v>
      </c>
      <c r="G40" s="70" t="s">
        <v>586</v>
      </c>
      <c r="H40" s="70" t="s">
        <v>586</v>
      </c>
      <c r="I40" s="70" t="s">
        <v>586</v>
      </c>
      <c r="J40" s="70" t="s">
        <v>586</v>
      </c>
      <c r="L40" s="3">
        <v>0</v>
      </c>
      <c r="M40" s="3" t="s">
        <v>129</v>
      </c>
      <c r="N40" s="3" t="s">
        <v>129</v>
      </c>
      <c r="O40" s="3">
        <v>172</v>
      </c>
      <c r="P40" s="3">
        <f>+Tabla3[[#This Row],[V GRAVADAS]]/1.13</f>
        <v>152.21238938053099</v>
      </c>
      <c r="Q40" s="3">
        <f>+Tabla3[[#This Row],[Columna1]]*0.13</f>
        <v>19.787610619469032</v>
      </c>
      <c r="R40" s="3" t="s">
        <v>129</v>
      </c>
      <c r="S40" s="3" t="s">
        <v>129</v>
      </c>
      <c r="T40" s="3" t="s">
        <v>129</v>
      </c>
      <c r="U40" s="3" t="s">
        <v>129</v>
      </c>
      <c r="V40" s="3" t="s">
        <v>129</v>
      </c>
      <c r="W40" s="3">
        <f t="shared" si="0"/>
        <v>344.00000000000006</v>
      </c>
      <c r="X40" t="s">
        <v>71</v>
      </c>
    </row>
    <row r="41" spans="1:24" x14ac:dyDescent="0.25">
      <c r="A41" t="s">
        <v>294</v>
      </c>
      <c r="B41" t="s">
        <v>583</v>
      </c>
      <c r="C41" t="s">
        <v>1</v>
      </c>
      <c r="D41" t="s">
        <v>131</v>
      </c>
      <c r="E41" t="s">
        <v>503</v>
      </c>
      <c r="F41" t="s">
        <v>504</v>
      </c>
      <c r="G41" s="70" t="s">
        <v>587</v>
      </c>
      <c r="H41" s="70" t="s">
        <v>587</v>
      </c>
      <c r="I41" s="70" t="s">
        <v>587</v>
      </c>
      <c r="J41" s="70" t="s">
        <v>587</v>
      </c>
      <c r="L41" s="3">
        <v>0</v>
      </c>
      <c r="M41" s="3" t="s">
        <v>129</v>
      </c>
      <c r="N41" s="3" t="s">
        <v>129</v>
      </c>
      <c r="O41" s="3">
        <v>289.2</v>
      </c>
      <c r="P41" s="3">
        <f>+Tabla3[[#This Row],[V GRAVADAS]]/1.13</f>
        <v>255.92920353982302</v>
      </c>
      <c r="Q41" s="3">
        <f>+Tabla3[[#This Row],[Columna1]]*0.13</f>
        <v>33.270796460176996</v>
      </c>
      <c r="R41" s="3" t="s">
        <v>129</v>
      </c>
      <c r="S41" s="3" t="s">
        <v>129</v>
      </c>
      <c r="T41" s="3" t="s">
        <v>129</v>
      </c>
      <c r="U41" s="3" t="s">
        <v>129</v>
      </c>
      <c r="V41" s="3" t="s">
        <v>129</v>
      </c>
      <c r="W41" s="3">
        <f t="shared" si="0"/>
        <v>578.40000000000009</v>
      </c>
      <c r="X41" t="s">
        <v>71</v>
      </c>
    </row>
    <row r="42" spans="1:24" x14ac:dyDescent="0.25">
      <c r="A42" t="s">
        <v>294</v>
      </c>
      <c r="B42" t="s">
        <v>588</v>
      </c>
      <c r="C42" t="s">
        <v>1</v>
      </c>
      <c r="D42" t="s">
        <v>131</v>
      </c>
      <c r="E42" t="s">
        <v>503</v>
      </c>
      <c r="F42" t="s">
        <v>504</v>
      </c>
      <c r="G42" s="70" t="s">
        <v>589</v>
      </c>
      <c r="H42" s="70" t="s">
        <v>589</v>
      </c>
      <c r="I42" s="70" t="s">
        <v>589</v>
      </c>
      <c r="J42" s="70" t="s">
        <v>589</v>
      </c>
      <c r="L42" s="3">
        <v>0</v>
      </c>
      <c r="M42" s="3" t="s">
        <v>129</v>
      </c>
      <c r="N42" s="3" t="s">
        <v>129</v>
      </c>
      <c r="O42" s="3">
        <v>367.5</v>
      </c>
      <c r="P42" s="3">
        <f>+Tabla3[[#This Row],[V GRAVADAS]]/1.13</f>
        <v>325.22123893805315</v>
      </c>
      <c r="Q42" s="3">
        <f>+Tabla3[[#This Row],[Columna1]]*0.13</f>
        <v>42.278761061946909</v>
      </c>
      <c r="R42" s="3" t="s">
        <v>129</v>
      </c>
      <c r="S42" s="3" t="s">
        <v>129</v>
      </c>
      <c r="T42" s="3" t="s">
        <v>129</v>
      </c>
      <c r="U42" s="3" t="s">
        <v>129</v>
      </c>
      <c r="V42" s="3" t="s">
        <v>129</v>
      </c>
      <c r="W42" s="3">
        <f t="shared" si="0"/>
        <v>735</v>
      </c>
      <c r="X42" t="s">
        <v>71</v>
      </c>
    </row>
    <row r="43" spans="1:24" x14ac:dyDescent="0.25">
      <c r="A43" t="s">
        <v>294</v>
      </c>
      <c r="B43" t="s">
        <v>588</v>
      </c>
      <c r="C43" t="s">
        <v>1</v>
      </c>
      <c r="D43" t="s">
        <v>131</v>
      </c>
      <c r="E43" t="s">
        <v>503</v>
      </c>
      <c r="F43" t="s">
        <v>504</v>
      </c>
      <c r="G43" s="70" t="s">
        <v>590</v>
      </c>
      <c r="H43" s="70" t="s">
        <v>590</v>
      </c>
      <c r="I43" s="70" t="s">
        <v>590</v>
      </c>
      <c r="J43" s="70" t="s">
        <v>590</v>
      </c>
      <c r="L43" s="3">
        <v>385</v>
      </c>
      <c r="M43" s="3" t="s">
        <v>129</v>
      </c>
      <c r="N43" s="3" t="s">
        <v>129</v>
      </c>
      <c r="O43" s="3">
        <v>0</v>
      </c>
      <c r="P43" s="3">
        <f>+Tabla3[[#This Row],[V GRAVADAS]]/1.13</f>
        <v>0</v>
      </c>
      <c r="Q43" s="3">
        <f>+Tabla3[[#This Row],[Columna1]]*0.13</f>
        <v>0</v>
      </c>
      <c r="R43" s="3" t="s">
        <v>129</v>
      </c>
      <c r="S43" s="3" t="s">
        <v>129</v>
      </c>
      <c r="T43" s="3" t="s">
        <v>129</v>
      </c>
      <c r="U43" s="3" t="s">
        <v>129</v>
      </c>
      <c r="V43" s="3" t="s">
        <v>129</v>
      </c>
      <c r="W43" s="3">
        <f t="shared" si="0"/>
        <v>385</v>
      </c>
      <c r="X43" t="s">
        <v>71</v>
      </c>
    </row>
    <row r="44" spans="1:24" x14ac:dyDescent="0.25">
      <c r="A44" t="s">
        <v>318</v>
      </c>
      <c r="B44" t="s">
        <v>511</v>
      </c>
      <c r="C44" t="s">
        <v>1</v>
      </c>
      <c r="D44" t="s">
        <v>131</v>
      </c>
      <c r="E44" t="s">
        <v>503</v>
      </c>
      <c r="F44" t="s">
        <v>504</v>
      </c>
      <c r="G44" s="70" t="s">
        <v>591</v>
      </c>
      <c r="H44" s="70" t="s">
        <v>591</v>
      </c>
      <c r="I44" s="70" t="s">
        <v>591</v>
      </c>
      <c r="J44" s="70" t="s">
        <v>591</v>
      </c>
      <c r="L44" s="3">
        <v>0</v>
      </c>
      <c r="M44" s="3" t="s">
        <v>129</v>
      </c>
      <c r="N44" s="3" t="s">
        <v>129</v>
      </c>
      <c r="O44" s="3">
        <v>289.2</v>
      </c>
      <c r="P44" s="3">
        <f>+Tabla3[[#This Row],[V GRAVADAS]]/1.13</f>
        <v>255.92920353982302</v>
      </c>
      <c r="Q44" s="3">
        <f>+Tabla3[[#This Row],[Columna1]]*0.13</f>
        <v>33.270796460176996</v>
      </c>
      <c r="R44" s="3" t="s">
        <v>129</v>
      </c>
      <c r="S44" s="3" t="s">
        <v>129</v>
      </c>
      <c r="T44" s="3" t="s">
        <v>129</v>
      </c>
      <c r="U44" s="3" t="s">
        <v>129</v>
      </c>
      <c r="V44" s="3" t="s">
        <v>129</v>
      </c>
      <c r="W44" s="3">
        <f t="shared" si="0"/>
        <v>578.40000000000009</v>
      </c>
      <c r="X44" t="s">
        <v>71</v>
      </c>
    </row>
    <row r="45" spans="1:24" x14ac:dyDescent="0.25">
      <c r="A45" t="s">
        <v>318</v>
      </c>
      <c r="B45" t="s">
        <v>511</v>
      </c>
      <c r="C45" t="s">
        <v>1</v>
      </c>
      <c r="D45" t="s">
        <v>131</v>
      </c>
      <c r="E45" t="s">
        <v>503</v>
      </c>
      <c r="F45" t="s">
        <v>504</v>
      </c>
      <c r="G45" s="70" t="s">
        <v>592</v>
      </c>
      <c r="H45" s="70" t="s">
        <v>592</v>
      </c>
      <c r="I45" s="70" t="s">
        <v>592</v>
      </c>
      <c r="J45" s="70" t="s">
        <v>592</v>
      </c>
      <c r="L45" s="3">
        <v>0</v>
      </c>
      <c r="M45" s="3" t="s">
        <v>129</v>
      </c>
      <c r="N45" s="3" t="s">
        <v>129</v>
      </c>
      <c r="O45" s="3">
        <v>147</v>
      </c>
      <c r="P45" s="3">
        <f>+Tabla3[[#This Row],[V GRAVADAS]]/1.13</f>
        <v>130.08849557522126</v>
      </c>
      <c r="Q45" s="3">
        <f>+Tabla3[[#This Row],[Columna1]]*0.13</f>
        <v>16.911504424778766</v>
      </c>
      <c r="R45" s="3" t="s">
        <v>129</v>
      </c>
      <c r="S45" s="3" t="s">
        <v>129</v>
      </c>
      <c r="T45" s="3" t="s">
        <v>129</v>
      </c>
      <c r="U45" s="3" t="s">
        <v>129</v>
      </c>
      <c r="V45" s="3" t="s">
        <v>129</v>
      </c>
      <c r="W45" s="3">
        <f t="shared" si="0"/>
        <v>294</v>
      </c>
      <c r="X45" t="s">
        <v>71</v>
      </c>
    </row>
    <row r="46" spans="1:24" x14ac:dyDescent="0.25">
      <c r="A46" t="s">
        <v>318</v>
      </c>
      <c r="B46" t="s">
        <v>511</v>
      </c>
      <c r="C46" t="s">
        <v>1</v>
      </c>
      <c r="D46" t="s">
        <v>131</v>
      </c>
      <c r="E46" t="s">
        <v>503</v>
      </c>
      <c r="F46" t="s">
        <v>504</v>
      </c>
      <c r="G46" s="70" t="s">
        <v>593</v>
      </c>
      <c r="H46" s="70" t="s">
        <v>593</v>
      </c>
      <c r="I46" s="70" t="s">
        <v>593</v>
      </c>
      <c r="J46" s="70" t="s">
        <v>593</v>
      </c>
      <c r="L46" s="3">
        <v>0</v>
      </c>
      <c r="M46" s="3" t="s">
        <v>129</v>
      </c>
      <c r="N46" s="3" t="s">
        <v>129</v>
      </c>
      <c r="O46" s="3">
        <v>183.75</v>
      </c>
      <c r="P46" s="3">
        <f>+Tabla3[[#This Row],[V GRAVADAS]]/1.13</f>
        <v>162.61061946902657</v>
      </c>
      <c r="Q46" s="3">
        <f>+Tabla3[[#This Row],[Columna1]]*0.13</f>
        <v>21.139380530973455</v>
      </c>
      <c r="R46" s="3" t="s">
        <v>129</v>
      </c>
      <c r="S46" s="3" t="s">
        <v>129</v>
      </c>
      <c r="T46" s="3" t="s">
        <v>129</v>
      </c>
      <c r="U46" s="3" t="s">
        <v>129</v>
      </c>
      <c r="V46" s="3" t="s">
        <v>129</v>
      </c>
      <c r="W46" s="3">
        <f t="shared" si="0"/>
        <v>367.5</v>
      </c>
      <c r="X46" t="s">
        <v>71</v>
      </c>
    </row>
    <row r="47" spans="1:24" x14ac:dyDescent="0.25">
      <c r="A47" t="s">
        <v>318</v>
      </c>
      <c r="B47" t="s">
        <v>594</v>
      </c>
      <c r="C47" t="s">
        <v>1</v>
      </c>
      <c r="D47" t="s">
        <v>131</v>
      </c>
      <c r="E47" t="s">
        <v>503</v>
      </c>
      <c r="F47" t="s">
        <v>504</v>
      </c>
      <c r="G47" s="70" t="s">
        <v>595</v>
      </c>
      <c r="H47" s="70" t="s">
        <v>595</v>
      </c>
      <c r="I47" s="70" t="s">
        <v>595</v>
      </c>
      <c r="J47" s="70" t="s">
        <v>595</v>
      </c>
      <c r="L47" s="3">
        <v>385</v>
      </c>
      <c r="M47" s="3" t="s">
        <v>129</v>
      </c>
      <c r="N47" s="3" t="s">
        <v>129</v>
      </c>
      <c r="O47" s="3">
        <v>0</v>
      </c>
      <c r="P47" s="3">
        <f>+Tabla3[[#This Row],[V GRAVADAS]]/1.13</f>
        <v>0</v>
      </c>
      <c r="Q47" s="3">
        <f>+Tabla3[[#This Row],[Columna1]]*0.13</f>
        <v>0</v>
      </c>
      <c r="R47" s="3" t="s">
        <v>129</v>
      </c>
      <c r="S47" s="3" t="s">
        <v>129</v>
      </c>
      <c r="T47" s="3" t="s">
        <v>129</v>
      </c>
      <c r="U47" s="3" t="s">
        <v>129</v>
      </c>
      <c r="V47" s="3" t="s">
        <v>129</v>
      </c>
      <c r="W47" s="3">
        <f t="shared" si="0"/>
        <v>385</v>
      </c>
      <c r="X47" t="s">
        <v>71</v>
      </c>
    </row>
    <row r="48" spans="1:24" x14ac:dyDescent="0.25">
      <c r="A48" t="s">
        <v>318</v>
      </c>
      <c r="B48" t="s">
        <v>596</v>
      </c>
      <c r="C48" t="s">
        <v>1</v>
      </c>
      <c r="D48" t="s">
        <v>131</v>
      </c>
      <c r="E48" t="s">
        <v>503</v>
      </c>
      <c r="F48" t="s">
        <v>504</v>
      </c>
      <c r="G48" s="70" t="s">
        <v>597</v>
      </c>
      <c r="H48" s="70" t="s">
        <v>597</v>
      </c>
      <c r="I48" s="70" t="s">
        <v>597</v>
      </c>
      <c r="J48" s="70" t="s">
        <v>597</v>
      </c>
      <c r="L48" s="3">
        <v>0</v>
      </c>
      <c r="M48" s="3" t="s">
        <v>129</v>
      </c>
      <c r="N48" s="3" t="s">
        <v>129</v>
      </c>
      <c r="O48" s="3">
        <v>0</v>
      </c>
      <c r="P48" s="3">
        <f>+Tabla3[[#This Row],[V GRAVADAS]]/1.13</f>
        <v>0</v>
      </c>
      <c r="Q48" s="3">
        <f>+Tabla3[[#This Row],[Columna1]]*0.13</f>
        <v>0</v>
      </c>
      <c r="R48" s="3" t="s">
        <v>129</v>
      </c>
      <c r="S48" s="3" t="s">
        <v>129</v>
      </c>
      <c r="T48" s="3" t="s">
        <v>129</v>
      </c>
      <c r="U48" s="3" t="s">
        <v>129</v>
      </c>
      <c r="V48" s="3" t="s">
        <v>129</v>
      </c>
      <c r="W48" s="3">
        <f t="shared" si="0"/>
        <v>0</v>
      </c>
      <c r="X48" t="s">
        <v>71</v>
      </c>
    </row>
    <row r="49" spans="1:24" x14ac:dyDescent="0.25">
      <c r="A49" t="s">
        <v>318</v>
      </c>
      <c r="B49" t="s">
        <v>598</v>
      </c>
      <c r="C49" t="s">
        <v>1</v>
      </c>
      <c r="D49" t="s">
        <v>131</v>
      </c>
      <c r="E49" t="s">
        <v>503</v>
      </c>
      <c r="F49" t="s">
        <v>504</v>
      </c>
      <c r="G49" s="70" t="s">
        <v>599</v>
      </c>
      <c r="H49" s="70" t="s">
        <v>599</v>
      </c>
      <c r="I49" s="70" t="s">
        <v>599</v>
      </c>
      <c r="J49" s="70" t="s">
        <v>599</v>
      </c>
      <c r="L49" s="3">
        <v>0</v>
      </c>
      <c r="M49" s="3" t="s">
        <v>129</v>
      </c>
      <c r="N49" s="3" t="s">
        <v>129</v>
      </c>
      <c r="O49" s="3">
        <v>367.5</v>
      </c>
      <c r="P49" s="3">
        <f>+Tabla3[[#This Row],[V GRAVADAS]]/1.13</f>
        <v>325.22123893805315</v>
      </c>
      <c r="Q49" s="3">
        <f>+Tabla3[[#This Row],[Columna1]]*0.13</f>
        <v>42.278761061946909</v>
      </c>
      <c r="R49" s="3" t="s">
        <v>129</v>
      </c>
      <c r="S49" s="3" t="s">
        <v>129</v>
      </c>
      <c r="T49" s="3" t="s">
        <v>129</v>
      </c>
      <c r="U49" s="3" t="s">
        <v>129</v>
      </c>
      <c r="V49" s="3" t="s">
        <v>129</v>
      </c>
      <c r="W49" s="3">
        <f t="shared" si="0"/>
        <v>735</v>
      </c>
      <c r="X49" t="s">
        <v>71</v>
      </c>
    </row>
    <row r="50" spans="1:24" x14ac:dyDescent="0.25">
      <c r="A50" t="s">
        <v>318</v>
      </c>
      <c r="B50" t="s">
        <v>511</v>
      </c>
      <c r="C50" t="s">
        <v>1</v>
      </c>
      <c r="D50" t="s">
        <v>378</v>
      </c>
      <c r="E50" t="s">
        <v>501</v>
      </c>
      <c r="F50" t="s">
        <v>502</v>
      </c>
      <c r="G50" s="70" t="s">
        <v>600</v>
      </c>
      <c r="H50" s="70" t="s">
        <v>600</v>
      </c>
      <c r="I50" s="70" t="s">
        <v>600</v>
      </c>
      <c r="J50" s="70" t="s">
        <v>600</v>
      </c>
      <c r="L50" s="3">
        <v>0</v>
      </c>
      <c r="M50" s="3" t="s">
        <v>129</v>
      </c>
      <c r="N50" s="3" t="s">
        <v>129</v>
      </c>
      <c r="O50" s="3" t="s">
        <v>129</v>
      </c>
      <c r="P50" s="3">
        <f>+Tabla3[[#This Row],[V GRAVADAS]]/1.13</f>
        <v>0</v>
      </c>
      <c r="Q50" s="3">
        <f>+Tabla3[[#This Row],[Columna1]]*0.13</f>
        <v>0</v>
      </c>
      <c r="R50" s="3">
        <v>1057.1099999999999</v>
      </c>
      <c r="S50" s="3" t="s">
        <v>129</v>
      </c>
      <c r="T50" s="3" t="s">
        <v>129</v>
      </c>
      <c r="U50" s="3" t="s">
        <v>129</v>
      </c>
      <c r="V50" s="3" t="s">
        <v>129</v>
      </c>
      <c r="W50" s="3">
        <f t="shared" si="0"/>
        <v>1057.1099999999999</v>
      </c>
      <c r="X50" t="s">
        <v>71</v>
      </c>
    </row>
    <row r="51" spans="1:24" x14ac:dyDescent="0.25">
      <c r="A51" t="s">
        <v>342</v>
      </c>
      <c r="B51" t="s">
        <v>601</v>
      </c>
      <c r="C51" t="s">
        <v>1</v>
      </c>
      <c r="D51" t="s">
        <v>131</v>
      </c>
      <c r="E51" t="s">
        <v>503</v>
      </c>
      <c r="F51" t="s">
        <v>504</v>
      </c>
      <c r="G51" s="70" t="s">
        <v>602</v>
      </c>
      <c r="H51" s="70" t="s">
        <v>602</v>
      </c>
      <c r="I51" s="70" t="s">
        <v>602</v>
      </c>
      <c r="J51" s="70" t="s">
        <v>602</v>
      </c>
      <c r="L51" s="3">
        <v>0</v>
      </c>
      <c r="M51" s="3" t="s">
        <v>129</v>
      </c>
      <c r="N51" s="3" t="s">
        <v>129</v>
      </c>
      <c r="O51" s="3">
        <v>147</v>
      </c>
      <c r="P51" s="3">
        <f>+Tabla3[[#This Row],[V GRAVADAS]]/1.13</f>
        <v>130.08849557522126</v>
      </c>
      <c r="Q51" s="3">
        <f>+Tabla3[[#This Row],[Columna1]]*0.13</f>
        <v>16.911504424778766</v>
      </c>
      <c r="R51" s="3" t="s">
        <v>129</v>
      </c>
      <c r="S51" s="3" t="s">
        <v>129</v>
      </c>
      <c r="T51" s="3" t="s">
        <v>129</v>
      </c>
      <c r="U51" s="3" t="s">
        <v>129</v>
      </c>
      <c r="V51" s="3" t="s">
        <v>129</v>
      </c>
      <c r="W51" s="3">
        <f t="shared" si="0"/>
        <v>294</v>
      </c>
      <c r="X51" t="s">
        <v>71</v>
      </c>
    </row>
    <row r="52" spans="1:24" x14ac:dyDescent="0.25">
      <c r="A52" t="s">
        <v>342</v>
      </c>
      <c r="B52" t="s">
        <v>601</v>
      </c>
      <c r="C52" t="s">
        <v>1</v>
      </c>
      <c r="D52" t="s">
        <v>131</v>
      </c>
      <c r="E52" t="s">
        <v>503</v>
      </c>
      <c r="F52" t="s">
        <v>504</v>
      </c>
      <c r="G52" s="70" t="s">
        <v>603</v>
      </c>
      <c r="H52" s="70" t="s">
        <v>603</v>
      </c>
      <c r="I52" s="70" t="s">
        <v>603</v>
      </c>
      <c r="J52" s="70" t="s">
        <v>603</v>
      </c>
      <c r="L52" s="3">
        <v>0</v>
      </c>
      <c r="M52" s="3" t="s">
        <v>129</v>
      </c>
      <c r="N52" s="3" t="s">
        <v>129</v>
      </c>
      <c r="O52" s="3">
        <v>289.2</v>
      </c>
      <c r="P52" s="3">
        <f>+Tabla3[[#This Row],[V GRAVADAS]]/1.13</f>
        <v>255.92920353982302</v>
      </c>
      <c r="Q52" s="3">
        <f>+Tabla3[[#This Row],[Columna1]]*0.13</f>
        <v>33.270796460176996</v>
      </c>
      <c r="R52" s="3" t="s">
        <v>129</v>
      </c>
      <c r="S52" s="3" t="s">
        <v>129</v>
      </c>
      <c r="T52" s="3" t="s">
        <v>129</v>
      </c>
      <c r="U52" s="3" t="s">
        <v>129</v>
      </c>
      <c r="V52" s="3" t="s">
        <v>129</v>
      </c>
      <c r="W52" s="3">
        <f t="shared" si="0"/>
        <v>578.40000000000009</v>
      </c>
      <c r="X52" t="s">
        <v>71</v>
      </c>
    </row>
    <row r="53" spans="1:24" x14ac:dyDescent="0.25">
      <c r="A53" t="s">
        <v>342</v>
      </c>
      <c r="B53" t="s">
        <v>333</v>
      </c>
      <c r="C53" t="s">
        <v>1</v>
      </c>
      <c r="D53" t="s">
        <v>131</v>
      </c>
      <c r="E53" t="s">
        <v>503</v>
      </c>
      <c r="F53" t="s">
        <v>504</v>
      </c>
      <c r="G53" s="70" t="s">
        <v>604</v>
      </c>
      <c r="H53" s="70" t="s">
        <v>604</v>
      </c>
      <c r="I53" s="70" t="s">
        <v>604</v>
      </c>
      <c r="J53" s="70" t="s">
        <v>604</v>
      </c>
      <c r="L53" s="3">
        <v>385</v>
      </c>
      <c r="M53" s="3" t="s">
        <v>129</v>
      </c>
      <c r="N53" s="3" t="s">
        <v>129</v>
      </c>
      <c r="O53" s="3">
        <v>0</v>
      </c>
      <c r="P53" s="3">
        <f>+Tabla3[[#This Row],[V GRAVADAS]]/1.13</f>
        <v>0</v>
      </c>
      <c r="Q53" s="3">
        <f>+Tabla3[[#This Row],[Columna1]]*0.13</f>
        <v>0</v>
      </c>
      <c r="R53" s="3" t="s">
        <v>129</v>
      </c>
      <c r="S53" s="3" t="s">
        <v>129</v>
      </c>
      <c r="T53" s="3" t="s">
        <v>129</v>
      </c>
      <c r="U53" s="3" t="s">
        <v>129</v>
      </c>
      <c r="V53" s="3" t="s">
        <v>129</v>
      </c>
      <c r="W53" s="3">
        <f t="shared" si="0"/>
        <v>385</v>
      </c>
      <c r="X53" t="s">
        <v>71</v>
      </c>
    </row>
    <row r="54" spans="1:24" x14ac:dyDescent="0.25">
      <c r="A54" t="s">
        <v>342</v>
      </c>
      <c r="B54" t="s">
        <v>605</v>
      </c>
      <c r="C54" t="s">
        <v>1</v>
      </c>
      <c r="D54" t="s">
        <v>131</v>
      </c>
      <c r="E54" t="s">
        <v>503</v>
      </c>
      <c r="F54" t="s">
        <v>504</v>
      </c>
      <c r="G54" s="70" t="s">
        <v>606</v>
      </c>
      <c r="H54" s="70" t="s">
        <v>606</v>
      </c>
      <c r="I54" s="70" t="s">
        <v>606</v>
      </c>
      <c r="J54" s="70" t="s">
        <v>606</v>
      </c>
      <c r="L54" s="3">
        <v>0</v>
      </c>
      <c r="M54" s="3" t="s">
        <v>129</v>
      </c>
      <c r="N54" s="3" t="s">
        <v>129</v>
      </c>
      <c r="O54" s="3">
        <v>183.75</v>
      </c>
      <c r="P54" s="3">
        <f>+Tabla3[[#This Row],[V GRAVADAS]]/1.13</f>
        <v>162.61061946902657</v>
      </c>
      <c r="Q54" s="3">
        <f>+Tabla3[[#This Row],[Columna1]]*0.13</f>
        <v>21.139380530973455</v>
      </c>
      <c r="R54" s="3" t="s">
        <v>129</v>
      </c>
      <c r="S54" s="3" t="s">
        <v>129</v>
      </c>
      <c r="T54" s="3" t="s">
        <v>129</v>
      </c>
      <c r="U54" s="3" t="s">
        <v>129</v>
      </c>
      <c r="V54" s="3" t="s">
        <v>129</v>
      </c>
      <c r="W54" s="3">
        <f t="shared" si="0"/>
        <v>367.5</v>
      </c>
      <c r="X54" t="s">
        <v>71</v>
      </c>
    </row>
    <row r="55" spans="1:24" x14ac:dyDescent="0.25">
      <c r="A55" t="s">
        <v>342</v>
      </c>
      <c r="B55" t="s">
        <v>605</v>
      </c>
      <c r="C55" t="s">
        <v>1</v>
      </c>
      <c r="D55" t="s">
        <v>131</v>
      </c>
      <c r="E55" t="s">
        <v>503</v>
      </c>
      <c r="F55" t="s">
        <v>504</v>
      </c>
      <c r="G55" s="70" t="s">
        <v>607</v>
      </c>
      <c r="H55" s="70" t="s">
        <v>607</v>
      </c>
      <c r="I55" s="70" t="s">
        <v>607</v>
      </c>
      <c r="J55" s="70" t="s">
        <v>607</v>
      </c>
      <c r="L55" s="3">
        <v>0</v>
      </c>
      <c r="M55" s="3" t="s">
        <v>129</v>
      </c>
      <c r="N55" s="3" t="s">
        <v>129</v>
      </c>
      <c r="O55" s="3">
        <v>183.75</v>
      </c>
      <c r="P55" s="3">
        <f>+Tabla3[[#This Row],[V GRAVADAS]]/1.13</f>
        <v>162.61061946902657</v>
      </c>
      <c r="Q55" s="3">
        <f>+Tabla3[[#This Row],[Columna1]]*0.13</f>
        <v>21.139380530973455</v>
      </c>
      <c r="R55" s="3" t="s">
        <v>129</v>
      </c>
      <c r="S55" s="3" t="s">
        <v>129</v>
      </c>
      <c r="T55" s="3" t="s">
        <v>129</v>
      </c>
      <c r="U55" s="3" t="s">
        <v>129</v>
      </c>
      <c r="V55" s="3" t="s">
        <v>129</v>
      </c>
      <c r="W55" s="3">
        <f t="shared" si="0"/>
        <v>367.5</v>
      </c>
      <c r="X55" t="s">
        <v>71</v>
      </c>
    </row>
    <row r="56" spans="1:24" x14ac:dyDescent="0.25">
      <c r="A56" t="s">
        <v>342</v>
      </c>
      <c r="B56" t="s">
        <v>601</v>
      </c>
      <c r="C56" t="s">
        <v>1</v>
      </c>
      <c r="D56" t="s">
        <v>378</v>
      </c>
      <c r="E56" t="s">
        <v>501</v>
      </c>
      <c r="F56" t="s">
        <v>502</v>
      </c>
      <c r="G56" s="70" t="s">
        <v>608</v>
      </c>
      <c r="H56" s="70" t="s">
        <v>608</v>
      </c>
      <c r="I56" s="70" t="s">
        <v>608</v>
      </c>
      <c r="J56" s="70" t="s">
        <v>608</v>
      </c>
      <c r="L56" s="3">
        <v>0</v>
      </c>
      <c r="M56" s="3" t="s">
        <v>129</v>
      </c>
      <c r="N56" s="3" t="s">
        <v>129</v>
      </c>
      <c r="O56" s="3" t="s">
        <v>129</v>
      </c>
      <c r="P56" s="3">
        <f>+Tabla3[[#This Row],[V GRAVADAS]]/1.13</f>
        <v>0</v>
      </c>
      <c r="Q56" s="3">
        <f>+Tabla3[[#This Row],[Columna1]]*0.13</f>
        <v>0</v>
      </c>
      <c r="R56" s="3">
        <v>1057.1099999999999</v>
      </c>
      <c r="S56" s="3" t="s">
        <v>129</v>
      </c>
      <c r="T56" s="3" t="s">
        <v>129</v>
      </c>
      <c r="U56" s="3" t="s">
        <v>129</v>
      </c>
      <c r="V56" s="3" t="s">
        <v>129</v>
      </c>
      <c r="W56" s="3">
        <f t="shared" si="0"/>
        <v>1057.1099999999999</v>
      </c>
      <c r="X56" t="s">
        <v>71</v>
      </c>
    </row>
    <row r="57" spans="1:24" x14ac:dyDescent="0.25">
      <c r="A57" t="s">
        <v>609</v>
      </c>
      <c r="B57" t="s">
        <v>323</v>
      </c>
      <c r="C57" t="s">
        <v>1</v>
      </c>
      <c r="D57" t="s">
        <v>131</v>
      </c>
      <c r="E57" t="s">
        <v>503</v>
      </c>
      <c r="F57" t="s">
        <v>504</v>
      </c>
      <c r="G57" s="70" t="s">
        <v>610</v>
      </c>
      <c r="H57" s="70" t="s">
        <v>610</v>
      </c>
      <c r="I57" s="70" t="s">
        <v>610</v>
      </c>
      <c r="J57" s="70" t="s">
        <v>610</v>
      </c>
      <c r="L57" s="3" t="s">
        <v>129</v>
      </c>
      <c r="M57" s="3" t="s">
        <v>129</v>
      </c>
      <c r="N57" s="3" t="s">
        <v>129</v>
      </c>
      <c r="O57" s="3">
        <v>147</v>
      </c>
      <c r="P57" s="3">
        <f>+Tabla3[[#This Row],[V GRAVADAS]]/1.13</f>
        <v>130.08849557522126</v>
      </c>
      <c r="Q57" s="3">
        <f>+Tabla3[[#This Row],[Columna1]]*0.13</f>
        <v>16.911504424778766</v>
      </c>
      <c r="R57" s="3" t="s">
        <v>129</v>
      </c>
      <c r="S57" s="3" t="s">
        <v>129</v>
      </c>
      <c r="T57" s="3" t="s">
        <v>129</v>
      </c>
      <c r="U57" s="3" t="s">
        <v>129</v>
      </c>
      <c r="V57" s="3" t="s">
        <v>129</v>
      </c>
      <c r="W57" s="3">
        <f t="shared" ref="W57:W58" si="1">+O57</f>
        <v>147</v>
      </c>
      <c r="X57" t="s">
        <v>71</v>
      </c>
    </row>
    <row r="58" spans="1:24" x14ac:dyDescent="0.25">
      <c r="A58" t="s">
        <v>609</v>
      </c>
      <c r="B58" t="s">
        <v>323</v>
      </c>
      <c r="C58" t="s">
        <v>1</v>
      </c>
      <c r="D58" t="s">
        <v>131</v>
      </c>
      <c r="E58" t="s">
        <v>503</v>
      </c>
      <c r="F58" t="s">
        <v>504</v>
      </c>
      <c r="G58" s="70" t="s">
        <v>611</v>
      </c>
      <c r="H58" s="70" t="s">
        <v>611</v>
      </c>
      <c r="I58" s="70" t="s">
        <v>611</v>
      </c>
      <c r="J58" s="70" t="s">
        <v>611</v>
      </c>
      <c r="L58" s="3" t="s">
        <v>129</v>
      </c>
      <c r="M58" s="3" t="s">
        <v>129</v>
      </c>
      <c r="N58" s="3" t="s">
        <v>129</v>
      </c>
      <c r="O58" s="3">
        <v>289.2</v>
      </c>
      <c r="P58" s="3">
        <f>+Tabla3[[#This Row],[V GRAVADAS]]/1.13</f>
        <v>255.92920353982302</v>
      </c>
      <c r="Q58" s="3">
        <f>+Tabla3[[#This Row],[Columna1]]*0.13</f>
        <v>33.270796460176996</v>
      </c>
      <c r="R58" s="3" t="s">
        <v>129</v>
      </c>
      <c r="S58" s="3" t="s">
        <v>129</v>
      </c>
      <c r="T58" s="3" t="s">
        <v>129</v>
      </c>
      <c r="U58" s="3" t="s">
        <v>129</v>
      </c>
      <c r="V58" s="3" t="s">
        <v>129</v>
      </c>
      <c r="W58" s="3">
        <f t="shared" si="1"/>
        <v>289.2</v>
      </c>
      <c r="X58" t="s">
        <v>71</v>
      </c>
    </row>
    <row r="59" spans="1:24" x14ac:dyDescent="0.25">
      <c r="A59" t="s">
        <v>609</v>
      </c>
      <c r="B59" t="s">
        <v>344</v>
      </c>
      <c r="C59" t="s">
        <v>1</v>
      </c>
      <c r="D59" t="s">
        <v>131</v>
      </c>
      <c r="E59" t="s">
        <v>503</v>
      </c>
      <c r="F59" t="s">
        <v>504</v>
      </c>
      <c r="G59" s="70" t="s">
        <v>612</v>
      </c>
      <c r="H59" s="70" t="s">
        <v>612</v>
      </c>
      <c r="I59" s="70" t="s">
        <v>612</v>
      </c>
      <c r="J59" s="70" t="s">
        <v>612</v>
      </c>
      <c r="L59" s="3">
        <v>385</v>
      </c>
      <c r="M59" s="3" t="s">
        <v>129</v>
      </c>
      <c r="N59" s="3" t="s">
        <v>129</v>
      </c>
      <c r="O59" s="3">
        <v>0</v>
      </c>
      <c r="P59" s="3">
        <f>+Tabla3[[#This Row],[V GRAVADAS]]/1.13</f>
        <v>0</v>
      </c>
      <c r="Q59" s="3">
        <f>+Tabla3[[#This Row],[Columna1]]*0.13</f>
        <v>0</v>
      </c>
      <c r="R59" s="3" t="s">
        <v>129</v>
      </c>
      <c r="S59" s="3" t="s">
        <v>129</v>
      </c>
      <c r="T59" s="3" t="s">
        <v>129</v>
      </c>
      <c r="U59" s="3" t="s">
        <v>129</v>
      </c>
      <c r="V59" s="3" t="s">
        <v>129</v>
      </c>
      <c r="W59" s="3">
        <f>SUM(L59:V59)</f>
        <v>385</v>
      </c>
      <c r="X59" t="s">
        <v>71</v>
      </c>
    </row>
    <row r="60" spans="1:24" x14ac:dyDescent="0.25">
      <c r="A60" t="s">
        <v>609</v>
      </c>
      <c r="B60" t="s">
        <v>323</v>
      </c>
      <c r="C60" t="s">
        <v>1</v>
      </c>
      <c r="D60" t="s">
        <v>378</v>
      </c>
      <c r="E60" t="s">
        <v>501</v>
      </c>
      <c r="F60" t="s">
        <v>502</v>
      </c>
      <c r="G60" s="70" t="s">
        <v>613</v>
      </c>
      <c r="H60" s="70" t="s">
        <v>613</v>
      </c>
      <c r="I60" s="70" t="s">
        <v>613</v>
      </c>
      <c r="J60" s="70" t="s">
        <v>613</v>
      </c>
      <c r="L60" s="3">
        <v>0</v>
      </c>
      <c r="M60" s="3" t="s">
        <v>129</v>
      </c>
      <c r="N60" s="3" t="s">
        <v>129</v>
      </c>
      <c r="O60" s="3" t="s">
        <v>129</v>
      </c>
      <c r="P60" s="3">
        <f>+Tabla3[[#This Row],[V GRAVADAS]]/1.13</f>
        <v>0</v>
      </c>
      <c r="Q60" s="3">
        <f>+Tabla3[[#This Row],[Columna1]]*0.13</f>
        <v>0</v>
      </c>
      <c r="R60" s="3">
        <v>1057.1099999999999</v>
      </c>
      <c r="S60" s="3" t="s">
        <v>129</v>
      </c>
      <c r="T60" s="3" t="s">
        <v>129</v>
      </c>
      <c r="U60" s="3" t="s">
        <v>129</v>
      </c>
      <c r="V60" s="3" t="s">
        <v>129</v>
      </c>
      <c r="W60" s="3">
        <f t="shared" ref="W60" si="2">SUM(L60:V60)</f>
        <v>1057.1099999999999</v>
      </c>
      <c r="X60" t="s">
        <v>71</v>
      </c>
    </row>
    <row r="61" spans="1:24" x14ac:dyDescent="0.25">
      <c r="A61" t="s">
        <v>614</v>
      </c>
      <c r="B61" t="s">
        <v>620</v>
      </c>
      <c r="C61" t="s">
        <v>1</v>
      </c>
      <c r="D61" t="s">
        <v>131</v>
      </c>
      <c r="E61" t="s">
        <v>503</v>
      </c>
      <c r="F61" t="s">
        <v>504</v>
      </c>
      <c r="G61" s="70" t="s">
        <v>622</v>
      </c>
      <c r="H61" s="70" t="s">
        <v>622</v>
      </c>
      <c r="I61" s="70" t="s">
        <v>622</v>
      </c>
      <c r="J61" s="70" t="s">
        <v>622</v>
      </c>
      <c r="L61" s="3" t="s">
        <v>129</v>
      </c>
      <c r="M61" s="3" t="s">
        <v>129</v>
      </c>
      <c r="N61" s="3" t="s">
        <v>129</v>
      </c>
      <c r="O61" s="3">
        <v>385</v>
      </c>
      <c r="P61" s="3">
        <f>+Tabla3[[#This Row],[V GRAVADAS]]/1.13</f>
        <v>340.70796460176996</v>
      </c>
      <c r="Q61" s="3">
        <f>+Tabla3[[#This Row],[Columna1]]*0.13</f>
        <v>44.292035398230098</v>
      </c>
      <c r="R61" s="3" t="s">
        <v>129</v>
      </c>
      <c r="S61" s="3" t="s">
        <v>129</v>
      </c>
      <c r="T61" s="3" t="s">
        <v>129</v>
      </c>
      <c r="U61" s="3" t="s">
        <v>129</v>
      </c>
      <c r="V61" s="3" t="s">
        <v>129</v>
      </c>
      <c r="W61" s="3">
        <f>+O61</f>
        <v>385</v>
      </c>
      <c r="X61" t="s">
        <v>71</v>
      </c>
    </row>
    <row r="62" spans="1:24" x14ac:dyDescent="0.25">
      <c r="A62" t="s">
        <v>614</v>
      </c>
      <c r="B62" t="s">
        <v>617</v>
      </c>
      <c r="C62" t="s">
        <v>1</v>
      </c>
      <c r="D62" t="s">
        <v>131</v>
      </c>
      <c r="E62" t="s">
        <v>503</v>
      </c>
      <c r="F62" t="s">
        <v>504</v>
      </c>
      <c r="G62" s="70" t="s">
        <v>618</v>
      </c>
      <c r="H62" s="70" t="s">
        <v>618</v>
      </c>
      <c r="I62" s="70" t="s">
        <v>618</v>
      </c>
      <c r="J62" s="70" t="s">
        <v>618</v>
      </c>
      <c r="L62" s="3" t="s">
        <v>129</v>
      </c>
      <c r="M62" s="3" t="s">
        <v>129</v>
      </c>
      <c r="N62" s="3" t="s">
        <v>129</v>
      </c>
      <c r="O62" s="3">
        <v>293.52999999999997</v>
      </c>
      <c r="P62" s="3">
        <f>+Tabla3[[#This Row],[V GRAVADAS]]/1.13</f>
        <v>259.76106194690266</v>
      </c>
      <c r="Q62" s="3">
        <f>+Tabla3[[#This Row],[Columna1]]*0.13</f>
        <v>33.768938053097344</v>
      </c>
      <c r="R62" s="3" t="s">
        <v>129</v>
      </c>
      <c r="S62" s="3" t="s">
        <v>129</v>
      </c>
      <c r="T62" s="3" t="s">
        <v>129</v>
      </c>
      <c r="U62" s="3" t="s">
        <v>129</v>
      </c>
      <c r="V62" s="3" t="s">
        <v>129</v>
      </c>
      <c r="W62" s="3">
        <f>+O62</f>
        <v>293.52999999999997</v>
      </c>
      <c r="X62" t="s">
        <v>71</v>
      </c>
    </row>
    <row r="63" spans="1:24" x14ac:dyDescent="0.25">
      <c r="A63" t="s">
        <v>614</v>
      </c>
      <c r="B63" t="s">
        <v>617</v>
      </c>
      <c r="C63" t="s">
        <v>1</v>
      </c>
      <c r="D63" t="s">
        <v>131</v>
      </c>
      <c r="E63" t="s">
        <v>503</v>
      </c>
      <c r="F63" t="s">
        <v>504</v>
      </c>
      <c r="G63" s="70" t="s">
        <v>619</v>
      </c>
      <c r="H63" s="70" t="s">
        <v>619</v>
      </c>
      <c r="I63" s="70" t="s">
        <v>619</v>
      </c>
      <c r="J63" s="70" t="s">
        <v>619</v>
      </c>
      <c r="L63" s="3" t="s">
        <v>129</v>
      </c>
      <c r="M63" s="3" t="s">
        <v>129</v>
      </c>
      <c r="N63" s="3" t="s">
        <v>129</v>
      </c>
      <c r="O63" s="3">
        <v>151.33000000000001</v>
      </c>
      <c r="P63" s="3">
        <f>+Tabla3[[#This Row],[V GRAVADAS]]/1.13</f>
        <v>133.9203539823009</v>
      </c>
      <c r="Q63" s="3">
        <f>+Tabla3[[#This Row],[Columna1]]*0.13</f>
        <v>17.409646017699117</v>
      </c>
      <c r="R63" s="3" t="s">
        <v>129</v>
      </c>
      <c r="S63" s="3" t="s">
        <v>129</v>
      </c>
      <c r="T63" s="3" t="s">
        <v>129</v>
      </c>
      <c r="U63" s="3" t="s">
        <v>129</v>
      </c>
      <c r="V63" s="3" t="s">
        <v>129</v>
      </c>
      <c r="W63" s="3">
        <f>+O63</f>
        <v>151.33000000000001</v>
      </c>
      <c r="X63" t="s">
        <v>71</v>
      </c>
    </row>
    <row r="64" spans="1:24" x14ac:dyDescent="0.25">
      <c r="A64" t="s">
        <v>614</v>
      </c>
      <c r="B64" t="s">
        <v>620</v>
      </c>
      <c r="C64" t="s">
        <v>1</v>
      </c>
      <c r="D64" t="s">
        <v>131</v>
      </c>
      <c r="E64" t="s">
        <v>503</v>
      </c>
      <c r="F64" t="s">
        <v>504</v>
      </c>
      <c r="G64" s="70" t="s">
        <v>621</v>
      </c>
      <c r="H64" s="70" t="s">
        <v>621</v>
      </c>
      <c r="I64" s="70" t="s">
        <v>621</v>
      </c>
      <c r="J64" s="70" t="s">
        <v>621</v>
      </c>
      <c r="L64" s="3" t="s">
        <v>129</v>
      </c>
      <c r="M64" s="3" t="s">
        <v>129</v>
      </c>
      <c r="N64" s="3" t="s">
        <v>129</v>
      </c>
      <c r="O64" s="3">
        <v>385</v>
      </c>
      <c r="P64" s="3">
        <f>+Tabla3[[#This Row],[V GRAVADAS]]/1.13</f>
        <v>340.70796460176996</v>
      </c>
      <c r="Q64" s="3">
        <f>+Tabla3[[#This Row],[Columna1]]*0.13</f>
        <v>44.292035398230098</v>
      </c>
      <c r="R64" s="3" t="s">
        <v>129</v>
      </c>
      <c r="S64" s="3" t="s">
        <v>129</v>
      </c>
      <c r="T64" s="3" t="s">
        <v>129</v>
      </c>
      <c r="U64" s="3" t="s">
        <v>129</v>
      </c>
      <c r="V64" s="3" t="s">
        <v>129</v>
      </c>
      <c r="W64" s="3">
        <f>+O64</f>
        <v>385</v>
      </c>
      <c r="X64" t="s">
        <v>71</v>
      </c>
    </row>
    <row r="65" spans="1:24" x14ac:dyDescent="0.25">
      <c r="A65" t="s">
        <v>614</v>
      </c>
      <c r="B65" t="s">
        <v>615</v>
      </c>
      <c r="C65" t="s">
        <v>1</v>
      </c>
      <c r="D65" t="s">
        <v>378</v>
      </c>
      <c r="E65" t="s">
        <v>501</v>
      </c>
      <c r="F65" t="s">
        <v>502</v>
      </c>
      <c r="G65" s="70" t="s">
        <v>616</v>
      </c>
      <c r="H65" s="70" t="s">
        <v>616</v>
      </c>
      <c r="I65" s="70" t="s">
        <v>616</v>
      </c>
      <c r="J65" s="70" t="s">
        <v>616</v>
      </c>
      <c r="L65" s="3">
        <v>0</v>
      </c>
      <c r="M65" s="3" t="s">
        <v>129</v>
      </c>
      <c r="N65" s="3" t="s">
        <v>129</v>
      </c>
      <c r="O65" s="3" t="s">
        <v>129</v>
      </c>
      <c r="P65" s="3">
        <f>+Tabla3[[#This Row],[V GRAVADAS]]/1.13</f>
        <v>0</v>
      </c>
      <c r="Q65" s="3">
        <f>+Tabla3[[#This Row],[Columna1]]*0.13</f>
        <v>0</v>
      </c>
      <c r="R65" s="3">
        <v>1068.6500000000001</v>
      </c>
      <c r="S65" s="3" t="s">
        <v>129</v>
      </c>
      <c r="T65" s="3" t="s">
        <v>129</v>
      </c>
      <c r="U65" s="3" t="s">
        <v>129</v>
      </c>
      <c r="V65" s="3" t="s">
        <v>129</v>
      </c>
      <c r="W65" s="3">
        <f>SUM(L65:V65)</f>
        <v>1068.6500000000001</v>
      </c>
      <c r="X65" t="s">
        <v>71</v>
      </c>
    </row>
    <row r="66" spans="1:24" x14ac:dyDescent="0.25">
      <c r="A66" t="s">
        <v>518</v>
      </c>
      <c r="L66" s="66">
        <f>SUBTOTAL(109,Tabla3[V EXENTA])</f>
        <v>3850</v>
      </c>
      <c r="M66" s="2"/>
      <c r="N66" s="2"/>
      <c r="O66" s="66">
        <f>SUBTOTAL(109,Tabla3[V GRAVADAS])</f>
        <v>8474.6099999999988</v>
      </c>
      <c r="P66" s="66">
        <f>SUBTOTAL(109,Tabla3[Columna1])</f>
        <v>7499.6548672566378</v>
      </c>
      <c r="Q66" s="66">
        <f>SUBTOTAL(109,Tabla3[Columna2])</f>
        <v>974.95513274336304</v>
      </c>
      <c r="R66" s="66">
        <f>SUBTOTAL(109,Tabla3[EX IN CA])</f>
        <v>4239.9799999999996</v>
      </c>
      <c r="S66" s="2"/>
      <c r="T66" s="66">
        <f>SUBTOTAL(109,Tabla3[EX SERVICE])</f>
        <v>7399.7699999999986</v>
      </c>
      <c r="U66" s="2"/>
      <c r="V66" s="2"/>
      <c r="W66" s="66">
        <f>SUBTOTAL(109,Tabla3[TOTAL VENTA])</f>
        <v>26584.21000000001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I100"/>
  <sheetViews>
    <sheetView topLeftCell="A66" workbookViewId="0">
      <selection activeCell="B89" sqref="B89"/>
    </sheetView>
  </sheetViews>
  <sheetFormatPr baseColWidth="10" defaultRowHeight="15" x14ac:dyDescent="0.25"/>
  <cols>
    <col min="1" max="1" width="15" style="1" bestFit="1" customWidth="1"/>
    <col min="2" max="2" width="48" bestFit="1" customWidth="1"/>
    <col min="5" max="5" width="17.28515625" bestFit="1" customWidth="1"/>
    <col min="9" max="9" width="11.42578125" style="2"/>
  </cols>
  <sheetData>
    <row r="1" spans="1:8" x14ac:dyDescent="0.25">
      <c r="A1" s="1" t="s">
        <v>70</v>
      </c>
      <c r="B1" t="s">
        <v>69</v>
      </c>
    </row>
    <row r="2" spans="1:8" x14ac:dyDescent="0.25">
      <c r="A2" s="1" t="s">
        <v>68</v>
      </c>
      <c r="B2" t="s">
        <v>67</v>
      </c>
      <c r="E2" s="1"/>
      <c r="F2" s="1"/>
      <c r="G2" s="1"/>
      <c r="H2" s="1"/>
    </row>
    <row r="3" spans="1:8" x14ac:dyDescent="0.25">
      <c r="A3" s="1" t="s">
        <v>66</v>
      </c>
      <c r="B3" t="s">
        <v>65</v>
      </c>
      <c r="E3" s="1"/>
      <c r="F3" s="1"/>
      <c r="G3" s="1"/>
      <c r="H3" s="1"/>
    </row>
    <row r="4" spans="1:8" x14ac:dyDescent="0.25">
      <c r="A4" s="1" t="s">
        <v>64</v>
      </c>
      <c r="B4" t="s">
        <v>63</v>
      </c>
      <c r="E4" s="1"/>
      <c r="F4" s="1"/>
      <c r="G4" s="1"/>
      <c r="H4" s="1"/>
    </row>
    <row r="5" spans="1:8" x14ac:dyDescent="0.25">
      <c r="A5" s="1" t="s">
        <v>62</v>
      </c>
      <c r="B5" t="s">
        <v>61</v>
      </c>
      <c r="E5" s="1"/>
      <c r="F5" s="1"/>
      <c r="G5" s="1"/>
      <c r="H5" s="1"/>
    </row>
    <row r="6" spans="1:8" x14ac:dyDescent="0.25">
      <c r="A6" s="1" t="s">
        <v>60</v>
      </c>
      <c r="B6" t="s">
        <v>59</v>
      </c>
      <c r="E6" s="1"/>
      <c r="F6" s="1"/>
      <c r="G6" s="1"/>
      <c r="H6" s="1"/>
    </row>
    <row r="7" spans="1:8" x14ac:dyDescent="0.25">
      <c r="A7" s="1" t="s">
        <v>58</v>
      </c>
      <c r="B7" t="s">
        <v>57</v>
      </c>
      <c r="E7" s="1"/>
      <c r="F7" s="1"/>
      <c r="G7" s="1"/>
      <c r="H7" s="1"/>
    </row>
    <row r="8" spans="1:8" x14ac:dyDescent="0.25">
      <c r="A8" s="1" t="s">
        <v>56</v>
      </c>
      <c r="B8" t="s">
        <v>55</v>
      </c>
      <c r="E8" s="1"/>
      <c r="F8" s="1"/>
      <c r="G8" s="1"/>
      <c r="H8" s="1"/>
    </row>
    <row r="9" spans="1:8" x14ac:dyDescent="0.25">
      <c r="A9" s="1" t="s">
        <v>54</v>
      </c>
      <c r="B9" t="s">
        <v>53</v>
      </c>
      <c r="E9" s="1"/>
      <c r="F9" s="1"/>
      <c r="G9" s="1"/>
      <c r="H9" s="1"/>
    </row>
    <row r="10" spans="1:8" x14ac:dyDescent="0.25">
      <c r="A10" s="1" t="s">
        <v>52</v>
      </c>
      <c r="B10" t="s">
        <v>51</v>
      </c>
      <c r="E10" s="1"/>
      <c r="F10" s="1"/>
      <c r="G10" s="1"/>
      <c r="H10" s="1"/>
    </row>
    <row r="11" spans="1:8" x14ac:dyDescent="0.25">
      <c r="A11" s="1" t="s">
        <v>50</v>
      </c>
      <c r="B11" t="s">
        <v>49</v>
      </c>
      <c r="E11" s="1"/>
      <c r="F11" s="1"/>
      <c r="G11" s="1"/>
      <c r="H11" s="1"/>
    </row>
    <row r="12" spans="1:8" x14ac:dyDescent="0.25">
      <c r="A12" s="1" t="s">
        <v>48</v>
      </c>
      <c r="B12" t="s">
        <v>47</v>
      </c>
      <c r="E12" s="1"/>
      <c r="F12" s="1"/>
      <c r="G12" s="1"/>
      <c r="H12" s="1"/>
    </row>
    <row r="13" spans="1:8" x14ac:dyDescent="0.25">
      <c r="A13" s="1" t="s">
        <v>46</v>
      </c>
      <c r="B13" t="s">
        <v>45</v>
      </c>
    </row>
    <row r="14" spans="1:8" x14ac:dyDescent="0.25">
      <c r="A14" s="1" t="s">
        <v>44</v>
      </c>
      <c r="B14" t="s">
        <v>43</v>
      </c>
    </row>
    <row r="15" spans="1:8" x14ac:dyDescent="0.25">
      <c r="A15" s="1" t="s">
        <v>42</v>
      </c>
      <c r="B15" t="s">
        <v>41</v>
      </c>
    </row>
    <row r="16" spans="1:8" x14ac:dyDescent="0.25">
      <c r="A16" s="1" t="s">
        <v>40</v>
      </c>
      <c r="B16" t="s">
        <v>39</v>
      </c>
    </row>
    <row r="17" spans="1:2" x14ac:dyDescent="0.25">
      <c r="A17" s="1" t="s">
        <v>38</v>
      </c>
      <c r="B17" t="s">
        <v>37</v>
      </c>
    </row>
    <row r="18" spans="1:2" x14ac:dyDescent="0.25">
      <c r="A18" s="1" t="s">
        <v>36</v>
      </c>
      <c r="B18" t="s">
        <v>35</v>
      </c>
    </row>
    <row r="19" spans="1:2" x14ac:dyDescent="0.25">
      <c r="A19" s="1" t="s">
        <v>34</v>
      </c>
      <c r="B19" t="s">
        <v>33</v>
      </c>
    </row>
    <row r="20" spans="1:2" x14ac:dyDescent="0.25">
      <c r="A20" s="1" t="s">
        <v>32</v>
      </c>
      <c r="B20" t="s">
        <v>31</v>
      </c>
    </row>
    <row r="21" spans="1:2" x14ac:dyDescent="0.25">
      <c r="A21" s="1" t="s">
        <v>132</v>
      </c>
      <c r="B21" t="s">
        <v>133</v>
      </c>
    </row>
    <row r="22" spans="1:2" x14ac:dyDescent="0.25">
      <c r="A22" s="1" t="s">
        <v>134</v>
      </c>
      <c r="B22" t="s">
        <v>135</v>
      </c>
    </row>
    <row r="23" spans="1:2" x14ac:dyDescent="0.25">
      <c r="A23" s="1" t="s">
        <v>136</v>
      </c>
      <c r="B23" t="s">
        <v>137</v>
      </c>
    </row>
    <row r="24" spans="1:2" x14ac:dyDescent="0.25">
      <c r="A24" s="1" t="s">
        <v>138</v>
      </c>
      <c r="B24" t="s">
        <v>139</v>
      </c>
    </row>
    <row r="25" spans="1:2" x14ac:dyDescent="0.25">
      <c r="A25" s="1" t="s">
        <v>140</v>
      </c>
      <c r="B25" t="s">
        <v>141</v>
      </c>
    </row>
    <row r="26" spans="1:2" x14ac:dyDescent="0.25">
      <c r="A26" s="1" t="s">
        <v>142</v>
      </c>
      <c r="B26" t="s">
        <v>143</v>
      </c>
    </row>
    <row r="27" spans="1:2" x14ac:dyDescent="0.25">
      <c r="A27" s="1" t="s">
        <v>144</v>
      </c>
      <c r="B27" t="s">
        <v>145</v>
      </c>
    </row>
    <row r="28" spans="1:2" x14ac:dyDescent="0.25">
      <c r="A28" s="1" t="s">
        <v>146</v>
      </c>
      <c r="B28" t="s">
        <v>147</v>
      </c>
    </row>
    <row r="29" spans="1:2" x14ac:dyDescent="0.25">
      <c r="A29" s="1" t="s">
        <v>148</v>
      </c>
      <c r="B29" t="s">
        <v>149</v>
      </c>
    </row>
    <row r="30" spans="1:2" x14ac:dyDescent="0.25">
      <c r="A30" s="1" t="s">
        <v>150</v>
      </c>
      <c r="B30" t="s">
        <v>151</v>
      </c>
    </row>
    <row r="31" spans="1:2" x14ac:dyDescent="0.25">
      <c r="A31" s="1" t="s">
        <v>152</v>
      </c>
      <c r="B31" t="s">
        <v>153</v>
      </c>
    </row>
    <row r="32" spans="1:2" x14ac:dyDescent="0.25">
      <c r="A32" s="1" t="s">
        <v>154</v>
      </c>
      <c r="B32" t="s">
        <v>155</v>
      </c>
    </row>
    <row r="33" spans="1:2" x14ac:dyDescent="0.25">
      <c r="A33" s="1" t="s">
        <v>156</v>
      </c>
      <c r="B33" t="s">
        <v>157</v>
      </c>
    </row>
    <row r="34" spans="1:2" x14ac:dyDescent="0.25">
      <c r="A34" s="1" t="s">
        <v>158</v>
      </c>
      <c r="B34" t="s">
        <v>159</v>
      </c>
    </row>
    <row r="35" spans="1:2" x14ac:dyDescent="0.25">
      <c r="A35" s="1" t="s">
        <v>160</v>
      </c>
      <c r="B35" t="s">
        <v>161</v>
      </c>
    </row>
    <row r="36" spans="1:2" x14ac:dyDescent="0.25">
      <c r="A36" s="1" t="s">
        <v>162</v>
      </c>
      <c r="B36" t="s">
        <v>163</v>
      </c>
    </row>
    <row r="37" spans="1:2" x14ac:dyDescent="0.25">
      <c r="A37" s="1" t="s">
        <v>164</v>
      </c>
      <c r="B37" t="s">
        <v>165</v>
      </c>
    </row>
    <row r="38" spans="1:2" x14ac:dyDescent="0.25">
      <c r="A38" s="1" t="s">
        <v>166</v>
      </c>
      <c r="B38" t="s">
        <v>167</v>
      </c>
    </row>
    <row r="39" spans="1:2" x14ac:dyDescent="0.25">
      <c r="A39" s="1" t="s">
        <v>168</v>
      </c>
      <c r="B39" t="s">
        <v>169</v>
      </c>
    </row>
    <row r="40" spans="1:2" x14ac:dyDescent="0.25">
      <c r="A40" s="1" t="s">
        <v>170</v>
      </c>
      <c r="B40" t="s">
        <v>171</v>
      </c>
    </row>
    <row r="41" spans="1:2" x14ac:dyDescent="0.25">
      <c r="A41" s="1" t="s">
        <v>172</v>
      </c>
      <c r="B41" t="s">
        <v>173</v>
      </c>
    </row>
    <row r="42" spans="1:2" x14ac:dyDescent="0.25">
      <c r="A42" s="1" t="s">
        <v>174</v>
      </c>
      <c r="B42" t="s">
        <v>175</v>
      </c>
    </row>
    <row r="43" spans="1:2" x14ac:dyDescent="0.25">
      <c r="A43" s="1" t="s">
        <v>176</v>
      </c>
      <c r="B43" t="s">
        <v>177</v>
      </c>
    </row>
    <row r="44" spans="1:2" x14ac:dyDescent="0.25">
      <c r="A44" s="1" t="s">
        <v>178</v>
      </c>
      <c r="B44" t="s">
        <v>179</v>
      </c>
    </row>
    <row r="45" spans="1:2" x14ac:dyDescent="0.25">
      <c r="A45" s="1" t="s">
        <v>180</v>
      </c>
      <c r="B45" t="s">
        <v>181</v>
      </c>
    </row>
    <row r="46" spans="1:2" x14ac:dyDescent="0.25">
      <c r="A46" s="1" t="s">
        <v>182</v>
      </c>
      <c r="B46" t="s">
        <v>183</v>
      </c>
    </row>
    <row r="47" spans="1:2" x14ac:dyDescent="0.25">
      <c r="A47" s="1" t="s">
        <v>184</v>
      </c>
      <c r="B47" t="s">
        <v>185</v>
      </c>
    </row>
    <row r="48" spans="1:2" x14ac:dyDescent="0.25">
      <c r="A48" s="1" t="s">
        <v>186</v>
      </c>
      <c r="B48" s="1" t="s">
        <v>30</v>
      </c>
    </row>
    <row r="49" spans="1:2" x14ac:dyDescent="0.25">
      <c r="A49" s="1" t="s">
        <v>187</v>
      </c>
      <c r="B49" t="s">
        <v>188</v>
      </c>
    </row>
    <row r="50" spans="1:2" x14ac:dyDescent="0.25">
      <c r="A50" s="1" t="s">
        <v>189</v>
      </c>
      <c r="B50" t="s">
        <v>190</v>
      </c>
    </row>
    <row r="51" spans="1:2" x14ac:dyDescent="0.25">
      <c r="A51" s="1" t="s">
        <v>191</v>
      </c>
      <c r="B51" t="s">
        <v>192</v>
      </c>
    </row>
    <row r="52" spans="1:2" x14ac:dyDescent="0.25">
      <c r="A52" s="1" t="s">
        <v>193</v>
      </c>
      <c r="B52" t="s">
        <v>194</v>
      </c>
    </row>
    <row r="53" spans="1:2" x14ac:dyDescent="0.25">
      <c r="A53" s="1" t="s">
        <v>195</v>
      </c>
      <c r="B53" t="s">
        <v>196</v>
      </c>
    </row>
    <row r="54" spans="1:2" x14ac:dyDescent="0.25">
      <c r="A54" s="1" t="s">
        <v>197</v>
      </c>
      <c r="B54" t="s">
        <v>198</v>
      </c>
    </row>
    <row r="55" spans="1:2" x14ac:dyDescent="0.25">
      <c r="A55" s="1" t="s">
        <v>199</v>
      </c>
      <c r="B55" t="s">
        <v>200</v>
      </c>
    </row>
    <row r="56" spans="1:2" x14ac:dyDescent="0.25">
      <c r="A56" s="1" t="s">
        <v>29</v>
      </c>
      <c r="B56" t="s">
        <v>201</v>
      </c>
    </row>
    <row r="57" spans="1:2" x14ac:dyDescent="0.25">
      <c r="A57" s="1" t="s">
        <v>202</v>
      </c>
      <c r="B57" t="s">
        <v>203</v>
      </c>
    </row>
    <row r="58" spans="1:2" x14ac:dyDescent="0.25">
      <c r="A58" s="1" t="s">
        <v>204</v>
      </c>
      <c r="B58" t="s">
        <v>205</v>
      </c>
    </row>
    <row r="59" spans="1:2" x14ac:dyDescent="0.25">
      <c r="A59" s="1" t="s">
        <v>206</v>
      </c>
      <c r="B59" t="s">
        <v>207</v>
      </c>
    </row>
    <row r="60" spans="1:2" x14ac:dyDescent="0.25">
      <c r="A60" s="1" t="s">
        <v>208</v>
      </c>
      <c r="B60" t="s">
        <v>209</v>
      </c>
    </row>
    <row r="61" spans="1:2" x14ac:dyDescent="0.25">
      <c r="A61" s="1" t="s">
        <v>210</v>
      </c>
      <c r="B61" t="s">
        <v>211</v>
      </c>
    </row>
    <row r="62" spans="1:2" x14ac:dyDescent="0.25">
      <c r="A62" s="1" t="s">
        <v>212</v>
      </c>
      <c r="B62" t="s">
        <v>213</v>
      </c>
    </row>
    <row r="63" spans="1:2" x14ac:dyDescent="0.25">
      <c r="A63" s="1" t="s">
        <v>214</v>
      </c>
      <c r="B63" t="s">
        <v>215</v>
      </c>
    </row>
    <row r="64" spans="1:2" x14ac:dyDescent="0.25">
      <c r="A64" s="1" t="s">
        <v>216</v>
      </c>
      <c r="B64" t="s">
        <v>217</v>
      </c>
    </row>
    <row r="65" spans="1:2" x14ac:dyDescent="0.25">
      <c r="A65" s="1" t="s">
        <v>218</v>
      </c>
      <c r="B65" t="s">
        <v>219</v>
      </c>
    </row>
    <row r="66" spans="1:2" x14ac:dyDescent="0.25">
      <c r="A66" s="1" t="s">
        <v>220</v>
      </c>
      <c r="B66" t="s">
        <v>221</v>
      </c>
    </row>
    <row r="67" spans="1:2" x14ac:dyDescent="0.25">
      <c r="A67" s="1" t="s">
        <v>222</v>
      </c>
      <c r="B67" t="s">
        <v>223</v>
      </c>
    </row>
    <row r="68" spans="1:2" x14ac:dyDescent="0.25">
      <c r="A68" s="1" t="s">
        <v>224</v>
      </c>
      <c r="B68" t="s">
        <v>225</v>
      </c>
    </row>
    <row r="69" spans="1:2" x14ac:dyDescent="0.25">
      <c r="A69" s="1" t="s">
        <v>226</v>
      </c>
      <c r="B69" t="s">
        <v>227</v>
      </c>
    </row>
    <row r="70" spans="1:2" x14ac:dyDescent="0.25">
      <c r="A70" s="1" t="s">
        <v>228</v>
      </c>
      <c r="B70" t="s">
        <v>229</v>
      </c>
    </row>
    <row r="71" spans="1:2" x14ac:dyDescent="0.25">
      <c r="A71" s="1" t="s">
        <v>230</v>
      </c>
      <c r="B71" t="s">
        <v>231</v>
      </c>
    </row>
    <row r="72" spans="1:2" x14ac:dyDescent="0.25">
      <c r="A72" s="1" t="s">
        <v>232</v>
      </c>
      <c r="B72" t="s">
        <v>233</v>
      </c>
    </row>
    <row r="73" spans="1:2" x14ac:dyDescent="0.25">
      <c r="A73" s="1" t="s">
        <v>234</v>
      </c>
      <c r="B73" t="s">
        <v>235</v>
      </c>
    </row>
    <row r="74" spans="1:2" x14ac:dyDescent="0.25">
      <c r="A74" s="1" t="s">
        <v>236</v>
      </c>
      <c r="B74" t="s">
        <v>237</v>
      </c>
    </row>
    <row r="75" spans="1:2" x14ac:dyDescent="0.25">
      <c r="A75" s="1" t="s">
        <v>238</v>
      </c>
      <c r="B75" t="s">
        <v>239</v>
      </c>
    </row>
    <row r="76" spans="1:2" x14ac:dyDescent="0.25">
      <c r="A76" s="1" t="s">
        <v>240</v>
      </c>
      <c r="B76" t="s">
        <v>241</v>
      </c>
    </row>
    <row r="77" spans="1:2" x14ac:dyDescent="0.25">
      <c r="A77" s="1" t="s">
        <v>242</v>
      </c>
      <c r="B77" t="s">
        <v>243</v>
      </c>
    </row>
    <row r="78" spans="1:2" x14ac:dyDescent="0.25">
      <c r="A78" s="1" t="s">
        <v>244</v>
      </c>
      <c r="B78" s="30" t="s">
        <v>245</v>
      </c>
    </row>
    <row r="79" spans="1:2" x14ac:dyDescent="0.25">
      <c r="A79" s="1" t="s">
        <v>246</v>
      </c>
      <c r="B79" t="s">
        <v>247</v>
      </c>
    </row>
    <row r="80" spans="1:2" x14ac:dyDescent="0.25">
      <c r="A80" s="1" t="s">
        <v>248</v>
      </c>
      <c r="B80" t="s">
        <v>249</v>
      </c>
    </row>
    <row r="81" spans="1:2" x14ac:dyDescent="0.25">
      <c r="A81" s="1" t="s">
        <v>250</v>
      </c>
      <c r="B81" t="s">
        <v>251</v>
      </c>
    </row>
    <row r="82" spans="1:2" x14ac:dyDescent="0.25">
      <c r="A82" s="1" t="s">
        <v>252</v>
      </c>
      <c r="B82" t="s">
        <v>253</v>
      </c>
    </row>
    <row r="83" spans="1:2" x14ac:dyDescent="0.25">
      <c r="A83" s="1" t="s">
        <v>254</v>
      </c>
      <c r="B83" t="s">
        <v>255</v>
      </c>
    </row>
    <row r="84" spans="1:2" x14ac:dyDescent="0.25">
      <c r="A84" s="1" t="s">
        <v>256</v>
      </c>
      <c r="B84" t="s">
        <v>257</v>
      </c>
    </row>
    <row r="85" spans="1:2" x14ac:dyDescent="0.25">
      <c r="A85" s="1" t="s">
        <v>258</v>
      </c>
      <c r="B85" t="s">
        <v>259</v>
      </c>
    </row>
    <row r="86" spans="1:2" x14ac:dyDescent="0.25">
      <c r="A86" s="1" t="s">
        <v>260</v>
      </c>
      <c r="B86" t="s">
        <v>261</v>
      </c>
    </row>
    <row r="87" spans="1:2" x14ac:dyDescent="0.25">
      <c r="A87" s="1" t="s">
        <v>262</v>
      </c>
      <c r="B87" t="s">
        <v>263</v>
      </c>
    </row>
    <row r="88" spans="1:2" x14ac:dyDescent="0.25">
      <c r="A88" s="1" t="s">
        <v>264</v>
      </c>
      <c r="B88" t="s">
        <v>265</v>
      </c>
    </row>
    <row r="89" spans="1:2" x14ac:dyDescent="0.25">
      <c r="A89" s="1" t="s">
        <v>266</v>
      </c>
      <c r="B89" t="s">
        <v>267</v>
      </c>
    </row>
    <row r="90" spans="1:2" x14ac:dyDescent="0.25">
      <c r="A90" s="1" t="s">
        <v>268</v>
      </c>
      <c r="B90" t="s">
        <v>269</v>
      </c>
    </row>
    <row r="91" spans="1:2" x14ac:dyDescent="0.25">
      <c r="A91" s="1" t="s">
        <v>270</v>
      </c>
      <c r="B91" t="s">
        <v>271</v>
      </c>
    </row>
    <row r="92" spans="1:2" x14ac:dyDescent="0.25">
      <c r="A92" s="1" t="s">
        <v>272</v>
      </c>
      <c r="B92" s="31" t="s">
        <v>273</v>
      </c>
    </row>
    <row r="93" spans="1:2" x14ac:dyDescent="0.25">
      <c r="A93" s="1" t="s">
        <v>274</v>
      </c>
      <c r="B93" t="s">
        <v>275</v>
      </c>
    </row>
    <row r="94" spans="1:2" x14ac:dyDescent="0.25">
      <c r="A94" s="1" t="s">
        <v>276</v>
      </c>
      <c r="B94" t="s">
        <v>277</v>
      </c>
    </row>
    <row r="95" spans="1:2" x14ac:dyDescent="0.25">
      <c r="A95" s="1" t="s">
        <v>278</v>
      </c>
      <c r="B95" t="s">
        <v>279</v>
      </c>
    </row>
    <row r="96" spans="1:2" x14ac:dyDescent="0.25">
      <c r="A96" s="1" t="s">
        <v>280</v>
      </c>
      <c r="B96" t="s">
        <v>281</v>
      </c>
    </row>
    <row r="97" spans="1:2" x14ac:dyDescent="0.25">
      <c r="A97" s="1" t="s">
        <v>282</v>
      </c>
      <c r="B97" t="s">
        <v>283</v>
      </c>
    </row>
    <row r="98" spans="1:2" x14ac:dyDescent="0.25">
      <c r="A98" s="1" t="s">
        <v>284</v>
      </c>
      <c r="B98" t="s">
        <v>285</v>
      </c>
    </row>
    <row r="99" spans="1:2" x14ac:dyDescent="0.25">
      <c r="A99" s="1" t="s">
        <v>286</v>
      </c>
      <c r="B99" t="s">
        <v>287</v>
      </c>
    </row>
    <row r="100" spans="1:2" x14ac:dyDescent="0.25">
      <c r="A100" s="1" t="s">
        <v>522</v>
      </c>
      <c r="B100" t="s">
        <v>523</v>
      </c>
    </row>
  </sheetData>
  <conditionalFormatting sqref="A1:A1048576">
    <cfRule type="duplicateValues" dxfId="13" priority="1"/>
  </conditionalFormatting>
  <dataValidations count="1">
    <dataValidation allowBlank="1" showInputMessage="1" showErrorMessage="1" errorTitle="Error" error="debe ingresar un nombre que tenga entre 3 y 40 carácteres " promptTitle=" " sqref="B78"/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FF00"/>
  </sheetPr>
  <dimension ref="A1:I89"/>
  <sheetViews>
    <sheetView zoomScaleNormal="100" workbookViewId="0">
      <selection activeCell="B81" sqref="B81:H88"/>
    </sheetView>
  </sheetViews>
  <sheetFormatPr baseColWidth="10" defaultRowHeight="15" x14ac:dyDescent="0.25"/>
  <cols>
    <col min="2" max="2" width="15" style="1" bestFit="1" customWidth="1"/>
    <col min="3" max="6" width="11.42578125" style="1"/>
    <col min="7" max="7" width="11.42578125" style="32"/>
    <col min="8" max="8" width="13.28515625" style="32" customWidth="1"/>
    <col min="9" max="9" width="11.42578125" style="1"/>
  </cols>
  <sheetData>
    <row r="1" spans="1:9" x14ac:dyDescent="0.25">
      <c r="A1" t="s">
        <v>17</v>
      </c>
      <c r="B1" s="1" t="s">
        <v>70</v>
      </c>
      <c r="C1" s="1" t="s">
        <v>2</v>
      </c>
      <c r="D1" s="1" t="s">
        <v>366</v>
      </c>
      <c r="E1" s="1" t="s">
        <v>84</v>
      </c>
      <c r="F1" s="1" t="s">
        <v>365</v>
      </c>
      <c r="G1" s="32" t="s">
        <v>364</v>
      </c>
      <c r="H1" s="32" t="s">
        <v>363</v>
      </c>
      <c r="I1" s="1" t="s">
        <v>18</v>
      </c>
    </row>
    <row r="2" spans="1:9" hidden="1" x14ac:dyDescent="0.25">
      <c r="A2" t="s">
        <v>342</v>
      </c>
      <c r="B2" s="1" t="s">
        <v>244</v>
      </c>
      <c r="C2" s="1" t="s">
        <v>360</v>
      </c>
      <c r="D2" s="1" t="s">
        <v>292</v>
      </c>
      <c r="E2" s="1" t="s">
        <v>338</v>
      </c>
      <c r="F2" s="1" t="s">
        <v>362</v>
      </c>
      <c r="G2" s="2">
        <v>357.36</v>
      </c>
      <c r="H2" s="2">
        <v>3.57</v>
      </c>
      <c r="I2" s="1" t="s">
        <v>289</v>
      </c>
    </row>
    <row r="3" spans="1:9" hidden="1" x14ac:dyDescent="0.25">
      <c r="A3" t="s">
        <v>342</v>
      </c>
      <c r="B3" s="1" t="s">
        <v>244</v>
      </c>
      <c r="C3" s="1" t="s">
        <v>360</v>
      </c>
      <c r="D3" s="1" t="s">
        <v>292</v>
      </c>
      <c r="E3" s="1" t="s">
        <v>338</v>
      </c>
      <c r="F3" s="1" t="s">
        <v>361</v>
      </c>
      <c r="G3" s="2">
        <v>152.65</v>
      </c>
      <c r="H3" s="2">
        <v>1.53</v>
      </c>
      <c r="I3" s="1" t="s">
        <v>289</v>
      </c>
    </row>
    <row r="4" spans="1:9" hidden="1" x14ac:dyDescent="0.25">
      <c r="A4" t="s">
        <v>342</v>
      </c>
      <c r="B4" s="1" t="s">
        <v>244</v>
      </c>
      <c r="C4" s="1" t="s">
        <v>360</v>
      </c>
      <c r="D4" s="1" t="s">
        <v>292</v>
      </c>
      <c r="E4" s="1" t="s">
        <v>338</v>
      </c>
      <c r="F4" s="1" t="s">
        <v>359</v>
      </c>
      <c r="G4" s="2">
        <v>152.65</v>
      </c>
      <c r="H4" s="2">
        <v>1.53</v>
      </c>
      <c r="I4" s="1" t="s">
        <v>289</v>
      </c>
    </row>
    <row r="5" spans="1:9" hidden="1" x14ac:dyDescent="0.25">
      <c r="A5" t="s">
        <v>342</v>
      </c>
      <c r="B5" s="1" t="s">
        <v>244</v>
      </c>
      <c r="C5" s="1" t="s">
        <v>357</v>
      </c>
      <c r="D5" s="1" t="s">
        <v>292</v>
      </c>
      <c r="E5" s="1" t="s">
        <v>338</v>
      </c>
      <c r="F5" s="1" t="s">
        <v>358</v>
      </c>
      <c r="G5" s="2">
        <v>152.65</v>
      </c>
      <c r="H5" s="2">
        <v>1.53</v>
      </c>
      <c r="I5" s="1" t="s">
        <v>289</v>
      </c>
    </row>
    <row r="6" spans="1:9" hidden="1" x14ac:dyDescent="0.25">
      <c r="A6" t="s">
        <v>342</v>
      </c>
      <c r="B6" s="1" t="s">
        <v>244</v>
      </c>
      <c r="C6" s="1" t="s">
        <v>357</v>
      </c>
      <c r="D6" s="1" t="s">
        <v>292</v>
      </c>
      <c r="E6" s="1" t="s">
        <v>338</v>
      </c>
      <c r="F6" s="1" t="s">
        <v>356</v>
      </c>
      <c r="G6" s="2">
        <v>357.36</v>
      </c>
      <c r="H6" s="2">
        <v>3.57</v>
      </c>
      <c r="I6" s="1" t="s">
        <v>289</v>
      </c>
    </row>
    <row r="7" spans="1:9" hidden="1" x14ac:dyDescent="0.25">
      <c r="A7" t="s">
        <v>342</v>
      </c>
      <c r="B7" s="1" t="s">
        <v>244</v>
      </c>
      <c r="C7" s="1" t="s">
        <v>355</v>
      </c>
      <c r="D7" s="1" t="s">
        <v>292</v>
      </c>
      <c r="E7" s="1" t="s">
        <v>338</v>
      </c>
      <c r="F7" s="1" t="s">
        <v>354</v>
      </c>
      <c r="G7" s="2">
        <v>152.65</v>
      </c>
      <c r="H7" s="2">
        <v>1.53</v>
      </c>
      <c r="I7" s="1" t="s">
        <v>289</v>
      </c>
    </row>
    <row r="8" spans="1:9" hidden="1" x14ac:dyDescent="0.25">
      <c r="A8" t="s">
        <v>342</v>
      </c>
      <c r="B8" s="1" t="s">
        <v>244</v>
      </c>
      <c r="C8" s="1" t="s">
        <v>353</v>
      </c>
      <c r="D8" s="1" t="s">
        <v>292</v>
      </c>
      <c r="E8" s="1" t="s">
        <v>338</v>
      </c>
      <c r="F8" s="1" t="s">
        <v>352</v>
      </c>
      <c r="G8" s="2">
        <v>357.36</v>
      </c>
      <c r="H8" s="2">
        <v>3.57</v>
      </c>
      <c r="I8" s="1" t="s">
        <v>289</v>
      </c>
    </row>
    <row r="9" spans="1:9" hidden="1" x14ac:dyDescent="0.25">
      <c r="A9" t="s">
        <v>342</v>
      </c>
      <c r="B9" s="1" t="s">
        <v>244</v>
      </c>
      <c r="C9" s="1" t="s">
        <v>350</v>
      </c>
      <c r="D9" s="1" t="s">
        <v>292</v>
      </c>
      <c r="E9" s="1" t="s">
        <v>338</v>
      </c>
      <c r="F9" s="1" t="s">
        <v>351</v>
      </c>
      <c r="G9" s="2">
        <v>152.65</v>
      </c>
      <c r="H9" s="2">
        <v>1.53</v>
      </c>
      <c r="I9" s="1" t="s">
        <v>289</v>
      </c>
    </row>
    <row r="10" spans="1:9" hidden="1" x14ac:dyDescent="0.25">
      <c r="A10" t="s">
        <v>342</v>
      </c>
      <c r="B10" s="1" t="s">
        <v>244</v>
      </c>
      <c r="C10" s="1" t="s">
        <v>350</v>
      </c>
      <c r="D10" s="1" t="s">
        <v>292</v>
      </c>
      <c r="E10" s="1" t="s">
        <v>338</v>
      </c>
      <c r="F10" s="1" t="s">
        <v>349</v>
      </c>
      <c r="G10" s="2">
        <v>368.94</v>
      </c>
      <c r="H10" s="2">
        <v>3.69</v>
      </c>
      <c r="I10" s="1" t="s">
        <v>289</v>
      </c>
    </row>
    <row r="11" spans="1:9" hidden="1" x14ac:dyDescent="0.25">
      <c r="A11" t="s">
        <v>342</v>
      </c>
      <c r="B11" s="1" t="s">
        <v>244</v>
      </c>
      <c r="C11" s="1" t="s">
        <v>348</v>
      </c>
      <c r="D11" s="1" t="s">
        <v>292</v>
      </c>
      <c r="E11" s="1" t="s">
        <v>338</v>
      </c>
      <c r="F11" s="1" t="s">
        <v>347</v>
      </c>
      <c r="G11" s="2">
        <v>152.65</v>
      </c>
      <c r="H11" s="2">
        <v>1.53</v>
      </c>
      <c r="I11" s="1" t="s">
        <v>289</v>
      </c>
    </row>
    <row r="12" spans="1:9" hidden="1" x14ac:dyDescent="0.25">
      <c r="A12" t="s">
        <v>342</v>
      </c>
      <c r="B12" s="1" t="s">
        <v>244</v>
      </c>
      <c r="C12" s="1" t="s">
        <v>346</v>
      </c>
      <c r="D12" s="1" t="s">
        <v>292</v>
      </c>
      <c r="E12" s="1" t="s">
        <v>338</v>
      </c>
      <c r="F12" s="1" t="s">
        <v>345</v>
      </c>
      <c r="G12" s="2">
        <v>152.65</v>
      </c>
      <c r="H12" s="2">
        <v>1.53</v>
      </c>
      <c r="I12" s="1" t="s">
        <v>289</v>
      </c>
    </row>
    <row r="13" spans="1:9" hidden="1" x14ac:dyDescent="0.25">
      <c r="A13" t="s">
        <v>342</v>
      </c>
      <c r="B13" s="1" t="s">
        <v>268</v>
      </c>
      <c r="C13" s="1" t="s">
        <v>344</v>
      </c>
      <c r="D13" s="1" t="s">
        <v>292</v>
      </c>
      <c r="E13" s="1" t="s">
        <v>296</v>
      </c>
      <c r="F13" s="1" t="s">
        <v>343</v>
      </c>
      <c r="G13" s="2">
        <v>750</v>
      </c>
      <c r="H13" s="2">
        <v>7.5</v>
      </c>
      <c r="I13" s="1" t="s">
        <v>289</v>
      </c>
    </row>
    <row r="14" spans="1:9" hidden="1" x14ac:dyDescent="0.25">
      <c r="A14" t="s">
        <v>342</v>
      </c>
      <c r="B14" s="1" t="s">
        <v>240</v>
      </c>
      <c r="C14" s="1" t="s">
        <v>312</v>
      </c>
      <c r="D14" s="1" t="s">
        <v>292</v>
      </c>
      <c r="E14" s="1" t="s">
        <v>291</v>
      </c>
      <c r="F14" s="1" t="s">
        <v>341</v>
      </c>
      <c r="G14" s="2">
        <v>5759.8</v>
      </c>
      <c r="H14" s="2">
        <v>57.6</v>
      </c>
      <c r="I14" s="1" t="s">
        <v>289</v>
      </c>
    </row>
    <row r="15" spans="1:9" hidden="1" x14ac:dyDescent="0.25">
      <c r="A15" t="s">
        <v>318</v>
      </c>
      <c r="B15" s="1" t="s">
        <v>244</v>
      </c>
      <c r="C15" s="1" t="s">
        <v>339</v>
      </c>
      <c r="D15" s="1" t="s">
        <v>292</v>
      </c>
      <c r="E15" s="1" t="s">
        <v>338</v>
      </c>
      <c r="F15" s="1" t="s">
        <v>340</v>
      </c>
      <c r="G15" s="32">
        <v>152.65</v>
      </c>
      <c r="H15" s="32">
        <v>1.53</v>
      </c>
      <c r="I15" s="1" t="s">
        <v>289</v>
      </c>
    </row>
    <row r="16" spans="1:9" hidden="1" x14ac:dyDescent="0.25">
      <c r="A16" t="s">
        <v>318</v>
      </c>
      <c r="B16" s="1" t="s">
        <v>244</v>
      </c>
      <c r="C16" s="1" t="s">
        <v>339</v>
      </c>
      <c r="D16" s="1" t="s">
        <v>292</v>
      </c>
      <c r="E16" s="1" t="s">
        <v>338</v>
      </c>
      <c r="F16" s="1" t="s">
        <v>337</v>
      </c>
      <c r="G16" s="32">
        <v>152.65</v>
      </c>
      <c r="H16" s="32">
        <v>1.53</v>
      </c>
      <c r="I16" s="1" t="s">
        <v>289</v>
      </c>
    </row>
    <row r="17" spans="1:9" hidden="1" x14ac:dyDescent="0.25">
      <c r="A17" t="s">
        <v>318</v>
      </c>
      <c r="B17" s="1" t="s">
        <v>282</v>
      </c>
      <c r="C17" s="1" t="s">
        <v>312</v>
      </c>
      <c r="D17" s="1" t="s">
        <v>292</v>
      </c>
      <c r="E17" s="1" t="s">
        <v>296</v>
      </c>
      <c r="F17" s="1" t="s">
        <v>336</v>
      </c>
      <c r="G17" s="32">
        <v>143.63999999999999</v>
      </c>
      <c r="H17" s="32">
        <v>1.44</v>
      </c>
      <c r="I17" s="1" t="s">
        <v>289</v>
      </c>
    </row>
    <row r="18" spans="1:9" hidden="1" x14ac:dyDescent="0.25">
      <c r="A18" t="s">
        <v>318</v>
      </c>
      <c r="B18" s="1" t="s">
        <v>282</v>
      </c>
      <c r="C18" s="1" t="s">
        <v>312</v>
      </c>
      <c r="D18" s="1" t="s">
        <v>292</v>
      </c>
      <c r="E18" s="1" t="s">
        <v>296</v>
      </c>
      <c r="F18" s="1" t="s">
        <v>335</v>
      </c>
      <c r="G18" s="32">
        <v>183.69</v>
      </c>
      <c r="H18" s="32">
        <v>1.84</v>
      </c>
      <c r="I18" s="1" t="s">
        <v>289</v>
      </c>
    </row>
    <row r="19" spans="1:9" hidden="1" x14ac:dyDescent="0.25">
      <c r="A19" t="s">
        <v>318</v>
      </c>
      <c r="B19" s="1" t="s">
        <v>282</v>
      </c>
      <c r="C19" s="1" t="s">
        <v>309</v>
      </c>
      <c r="D19" s="1" t="s">
        <v>292</v>
      </c>
      <c r="E19" s="1" t="s">
        <v>296</v>
      </c>
      <c r="F19" s="1" t="s">
        <v>334</v>
      </c>
      <c r="G19" s="32">
        <v>143.63999999999999</v>
      </c>
      <c r="H19" s="32">
        <v>1.44</v>
      </c>
      <c r="I19" s="1" t="s">
        <v>289</v>
      </c>
    </row>
    <row r="20" spans="1:9" hidden="1" x14ac:dyDescent="0.25">
      <c r="A20" t="s">
        <v>318</v>
      </c>
      <c r="B20" s="1" t="s">
        <v>274</v>
      </c>
      <c r="C20" s="1" t="s">
        <v>333</v>
      </c>
      <c r="D20" s="1" t="s">
        <v>292</v>
      </c>
      <c r="E20" s="1" t="s">
        <v>291</v>
      </c>
      <c r="F20" s="1" t="s">
        <v>332</v>
      </c>
      <c r="G20" s="32">
        <v>141.1</v>
      </c>
      <c r="H20" s="32">
        <v>1.41</v>
      </c>
      <c r="I20" s="1" t="s">
        <v>289</v>
      </c>
    </row>
    <row r="21" spans="1:9" hidden="1" x14ac:dyDescent="0.25">
      <c r="A21" t="s">
        <v>318</v>
      </c>
      <c r="B21" s="1" t="s">
        <v>248</v>
      </c>
      <c r="C21" s="1" t="s">
        <v>331</v>
      </c>
      <c r="D21" s="1" t="s">
        <v>292</v>
      </c>
      <c r="E21" s="1" t="s">
        <v>296</v>
      </c>
      <c r="F21" s="1" t="s">
        <v>330</v>
      </c>
      <c r="G21" s="32">
        <v>165.92</v>
      </c>
      <c r="H21" s="32">
        <v>1.66</v>
      </c>
      <c r="I21" s="1" t="s">
        <v>289</v>
      </c>
    </row>
    <row r="22" spans="1:9" hidden="1" x14ac:dyDescent="0.25">
      <c r="A22" t="s">
        <v>318</v>
      </c>
      <c r="B22" s="1" t="s">
        <v>268</v>
      </c>
      <c r="C22" s="1" t="s">
        <v>329</v>
      </c>
      <c r="D22" s="1" t="s">
        <v>292</v>
      </c>
      <c r="E22" s="1" t="s">
        <v>296</v>
      </c>
      <c r="F22" s="1" t="s">
        <v>328</v>
      </c>
      <c r="G22" s="32">
        <v>840</v>
      </c>
      <c r="H22" s="32">
        <v>8.4</v>
      </c>
      <c r="I22" s="1" t="s">
        <v>289</v>
      </c>
    </row>
    <row r="23" spans="1:9" hidden="1" x14ac:dyDescent="0.25">
      <c r="A23" t="s">
        <v>318</v>
      </c>
      <c r="B23" s="1" t="s">
        <v>268</v>
      </c>
      <c r="C23" s="1" t="s">
        <v>327</v>
      </c>
      <c r="D23" s="1" t="s">
        <v>292</v>
      </c>
      <c r="E23" s="1" t="s">
        <v>296</v>
      </c>
      <c r="F23" s="1" t="s">
        <v>326</v>
      </c>
      <c r="G23" s="32">
        <v>750</v>
      </c>
      <c r="H23" s="32">
        <v>7.5</v>
      </c>
      <c r="I23" s="1" t="s">
        <v>289</v>
      </c>
    </row>
    <row r="24" spans="1:9" hidden="1" x14ac:dyDescent="0.25">
      <c r="A24" t="s">
        <v>318</v>
      </c>
      <c r="B24" s="1" t="s">
        <v>248</v>
      </c>
      <c r="C24" s="1" t="s">
        <v>325</v>
      </c>
      <c r="D24" s="1" t="s">
        <v>292</v>
      </c>
      <c r="E24" s="1" t="s">
        <v>296</v>
      </c>
      <c r="F24" s="1" t="s">
        <v>324</v>
      </c>
      <c r="G24" s="32">
        <v>165.92</v>
      </c>
      <c r="H24" s="32">
        <v>1.66</v>
      </c>
      <c r="I24" s="1" t="s">
        <v>289</v>
      </c>
    </row>
    <row r="25" spans="1:9" hidden="1" x14ac:dyDescent="0.25">
      <c r="A25" t="s">
        <v>318</v>
      </c>
      <c r="B25" s="1" t="s">
        <v>264</v>
      </c>
      <c r="C25" s="1" t="s">
        <v>323</v>
      </c>
      <c r="D25" s="1" t="s">
        <v>292</v>
      </c>
      <c r="E25" s="1" t="s">
        <v>322</v>
      </c>
      <c r="F25" s="1" t="s">
        <v>321</v>
      </c>
      <c r="G25" s="32">
        <v>150</v>
      </c>
      <c r="H25" s="32">
        <v>1.5</v>
      </c>
      <c r="I25" s="1" t="s">
        <v>289</v>
      </c>
    </row>
    <row r="26" spans="1:9" hidden="1" x14ac:dyDescent="0.25">
      <c r="A26" t="s">
        <v>318</v>
      </c>
      <c r="B26" s="1" t="s">
        <v>272</v>
      </c>
      <c r="C26" s="1" t="s">
        <v>320</v>
      </c>
      <c r="D26" s="1" t="s">
        <v>292</v>
      </c>
      <c r="E26" s="1" t="s">
        <v>296</v>
      </c>
      <c r="F26" s="1" t="s">
        <v>319</v>
      </c>
      <c r="G26" s="32">
        <v>377.6</v>
      </c>
      <c r="H26" s="32">
        <v>3.78</v>
      </c>
      <c r="I26" s="1" t="s">
        <v>289</v>
      </c>
    </row>
    <row r="27" spans="1:9" hidden="1" x14ac:dyDescent="0.25">
      <c r="A27" t="s">
        <v>318</v>
      </c>
      <c r="B27" s="1" t="s">
        <v>240</v>
      </c>
      <c r="C27" s="1" t="s">
        <v>309</v>
      </c>
      <c r="D27" s="1" t="s">
        <v>292</v>
      </c>
      <c r="E27" s="1" t="s">
        <v>291</v>
      </c>
      <c r="F27" s="1" t="s">
        <v>317</v>
      </c>
      <c r="G27" s="32">
        <v>19831</v>
      </c>
      <c r="H27" s="32">
        <v>198.31</v>
      </c>
      <c r="I27" s="1" t="s">
        <v>289</v>
      </c>
    </row>
    <row r="28" spans="1:9" hidden="1" x14ac:dyDescent="0.25">
      <c r="A28" t="s">
        <v>294</v>
      </c>
      <c r="B28" s="1" t="s">
        <v>274</v>
      </c>
      <c r="C28" s="1" t="s">
        <v>122</v>
      </c>
      <c r="D28" s="1" t="s">
        <v>292</v>
      </c>
      <c r="E28" s="1" t="s">
        <v>291</v>
      </c>
      <c r="F28" s="1" t="s">
        <v>316</v>
      </c>
      <c r="G28" s="32">
        <v>141.1</v>
      </c>
      <c r="H28" s="32">
        <v>1.41</v>
      </c>
      <c r="I28" s="1" t="s">
        <v>289</v>
      </c>
    </row>
    <row r="29" spans="1:9" hidden="1" x14ac:dyDescent="0.25">
      <c r="A29" t="s">
        <v>294</v>
      </c>
      <c r="B29" s="1" t="s">
        <v>274</v>
      </c>
      <c r="C29" s="1" t="s">
        <v>122</v>
      </c>
      <c r="D29" s="1" t="s">
        <v>292</v>
      </c>
      <c r="E29" s="1" t="s">
        <v>291</v>
      </c>
      <c r="F29" s="1" t="s">
        <v>315</v>
      </c>
      <c r="G29" s="32">
        <v>141.1</v>
      </c>
      <c r="H29" s="32">
        <v>1.41</v>
      </c>
      <c r="I29" s="1" t="s">
        <v>289</v>
      </c>
    </row>
    <row r="30" spans="1:9" hidden="1" x14ac:dyDescent="0.25">
      <c r="A30" t="s">
        <v>294</v>
      </c>
      <c r="B30" s="1" t="s">
        <v>242</v>
      </c>
      <c r="C30" s="1" t="s">
        <v>314</v>
      </c>
      <c r="D30" s="1" t="s">
        <v>292</v>
      </c>
      <c r="E30" s="1" t="s">
        <v>305</v>
      </c>
      <c r="F30" s="1" t="s">
        <v>313</v>
      </c>
      <c r="G30" s="32">
        <v>689.2</v>
      </c>
      <c r="H30" s="32">
        <v>6.89</v>
      </c>
      <c r="I30" s="1" t="s">
        <v>289</v>
      </c>
    </row>
    <row r="31" spans="1:9" hidden="1" x14ac:dyDescent="0.25">
      <c r="A31" t="s">
        <v>294</v>
      </c>
      <c r="B31" s="1" t="s">
        <v>242</v>
      </c>
      <c r="C31" s="1" t="s">
        <v>312</v>
      </c>
      <c r="D31" s="1" t="s">
        <v>292</v>
      </c>
      <c r="E31" s="1" t="s">
        <v>305</v>
      </c>
      <c r="F31" s="1" t="s">
        <v>311</v>
      </c>
      <c r="G31" s="32">
        <v>2607</v>
      </c>
      <c r="H31" s="32">
        <v>26.07</v>
      </c>
      <c r="I31" s="1" t="s">
        <v>289</v>
      </c>
    </row>
    <row r="32" spans="1:9" hidden="1" x14ac:dyDescent="0.25">
      <c r="A32" t="s">
        <v>294</v>
      </c>
      <c r="B32" s="1" t="s">
        <v>242</v>
      </c>
      <c r="C32" s="1" t="s">
        <v>309</v>
      </c>
      <c r="D32" s="1" t="s">
        <v>292</v>
      </c>
      <c r="E32" s="1" t="s">
        <v>305</v>
      </c>
      <c r="F32" s="1" t="s">
        <v>310</v>
      </c>
      <c r="G32" s="32">
        <v>344.6</v>
      </c>
      <c r="H32" s="32">
        <v>3.45</v>
      </c>
      <c r="I32" s="1" t="s">
        <v>289</v>
      </c>
    </row>
    <row r="33" spans="1:9" hidden="1" x14ac:dyDescent="0.25">
      <c r="A33" t="s">
        <v>294</v>
      </c>
      <c r="B33" s="1" t="s">
        <v>242</v>
      </c>
      <c r="C33" s="1" t="s">
        <v>309</v>
      </c>
      <c r="D33" s="1" t="s">
        <v>292</v>
      </c>
      <c r="E33" s="1" t="s">
        <v>305</v>
      </c>
      <c r="F33" s="1" t="s">
        <v>308</v>
      </c>
      <c r="G33" s="32">
        <v>2660.6</v>
      </c>
      <c r="H33" s="32">
        <v>26.61</v>
      </c>
      <c r="I33" s="1" t="s">
        <v>289</v>
      </c>
    </row>
    <row r="34" spans="1:9" hidden="1" x14ac:dyDescent="0.25">
      <c r="A34" t="s">
        <v>294</v>
      </c>
      <c r="B34" s="1" t="s">
        <v>242</v>
      </c>
      <c r="C34" s="1" t="s">
        <v>307</v>
      </c>
      <c r="D34" s="1" t="s">
        <v>292</v>
      </c>
      <c r="E34" s="1" t="s">
        <v>305</v>
      </c>
      <c r="F34" s="1" t="s">
        <v>306</v>
      </c>
      <c r="G34" s="32">
        <v>344.6</v>
      </c>
      <c r="H34" s="32">
        <v>3.45</v>
      </c>
      <c r="I34" s="1" t="s">
        <v>289</v>
      </c>
    </row>
    <row r="35" spans="1:9" hidden="1" x14ac:dyDescent="0.25">
      <c r="A35" t="s">
        <v>294</v>
      </c>
      <c r="B35" s="1" t="s">
        <v>242</v>
      </c>
      <c r="C35" s="1" t="s">
        <v>293</v>
      </c>
      <c r="D35" s="1" t="s">
        <v>292</v>
      </c>
      <c r="E35" s="1" t="s">
        <v>305</v>
      </c>
      <c r="F35" s="1" t="s">
        <v>304</v>
      </c>
      <c r="G35" s="32">
        <v>2521.4</v>
      </c>
      <c r="H35" s="32">
        <v>25.21</v>
      </c>
      <c r="I35" s="1" t="s">
        <v>289</v>
      </c>
    </row>
    <row r="36" spans="1:9" hidden="1" x14ac:dyDescent="0.25">
      <c r="A36" t="s">
        <v>294</v>
      </c>
      <c r="B36" s="1" t="s">
        <v>268</v>
      </c>
      <c r="C36" s="1" t="s">
        <v>303</v>
      </c>
      <c r="D36" s="1" t="s">
        <v>292</v>
      </c>
      <c r="E36" s="1" t="s">
        <v>296</v>
      </c>
      <c r="F36" s="1" t="s">
        <v>302</v>
      </c>
      <c r="G36" s="32">
        <v>750</v>
      </c>
      <c r="H36" s="32">
        <v>7.5</v>
      </c>
      <c r="I36" s="1" t="s">
        <v>289</v>
      </c>
    </row>
    <row r="37" spans="1:9" hidden="1" x14ac:dyDescent="0.25">
      <c r="A37" t="s">
        <v>294</v>
      </c>
      <c r="B37" s="1" t="s">
        <v>248</v>
      </c>
      <c r="C37" s="1" t="s">
        <v>121</v>
      </c>
      <c r="D37" s="1" t="s">
        <v>292</v>
      </c>
      <c r="E37" s="1" t="s">
        <v>296</v>
      </c>
      <c r="F37" s="1" t="s">
        <v>301</v>
      </c>
      <c r="G37" s="32">
        <v>165.92</v>
      </c>
      <c r="H37" s="32">
        <v>1.66</v>
      </c>
      <c r="I37" s="1" t="s">
        <v>289</v>
      </c>
    </row>
    <row r="38" spans="1:9" hidden="1" x14ac:dyDescent="0.25">
      <c r="A38" t="s">
        <v>294</v>
      </c>
      <c r="B38" s="1" t="s">
        <v>300</v>
      </c>
      <c r="C38" s="1" t="s">
        <v>299</v>
      </c>
      <c r="D38" s="1" t="s">
        <v>292</v>
      </c>
      <c r="E38" s="1" t="s">
        <v>296</v>
      </c>
      <c r="F38" s="1" t="s">
        <v>298</v>
      </c>
      <c r="G38" s="32">
        <v>148.04</v>
      </c>
      <c r="H38" s="32">
        <v>1.48</v>
      </c>
      <c r="I38" s="1" t="s">
        <v>289</v>
      </c>
    </row>
    <row r="39" spans="1:9" hidden="1" x14ac:dyDescent="0.25">
      <c r="A39" t="s">
        <v>294</v>
      </c>
      <c r="B39" s="1" t="s">
        <v>272</v>
      </c>
      <c r="C39" s="1" t="s">
        <v>297</v>
      </c>
      <c r="D39" s="1" t="s">
        <v>292</v>
      </c>
      <c r="E39" s="1" t="s">
        <v>296</v>
      </c>
      <c r="F39" s="1" t="s">
        <v>295</v>
      </c>
      <c r="G39" s="32">
        <v>377.6</v>
      </c>
      <c r="H39" s="32">
        <v>3.78</v>
      </c>
      <c r="I39" s="1" t="s">
        <v>289</v>
      </c>
    </row>
    <row r="40" spans="1:9" hidden="1" x14ac:dyDescent="0.25">
      <c r="A40" t="s">
        <v>294</v>
      </c>
      <c r="B40" s="1" t="s">
        <v>240</v>
      </c>
      <c r="C40" s="1" t="s">
        <v>293</v>
      </c>
      <c r="D40" s="1" t="s">
        <v>292</v>
      </c>
      <c r="E40" s="1" t="s">
        <v>291</v>
      </c>
      <c r="F40" s="1" t="s">
        <v>290</v>
      </c>
      <c r="G40" s="32">
        <v>4578.32</v>
      </c>
      <c r="H40" s="32">
        <v>45.78</v>
      </c>
      <c r="I40" s="1" t="s">
        <v>289</v>
      </c>
    </row>
    <row r="41" spans="1:9" hidden="1" x14ac:dyDescent="0.25">
      <c r="A41" t="s">
        <v>87</v>
      </c>
      <c r="B41" s="1" t="s">
        <v>244</v>
      </c>
      <c r="C41" s="1" t="s">
        <v>303</v>
      </c>
      <c r="D41" s="1" t="s">
        <v>292</v>
      </c>
      <c r="E41" s="1" t="s">
        <v>338</v>
      </c>
      <c r="F41" s="1" t="s">
        <v>505</v>
      </c>
      <c r="G41" s="32">
        <v>357.36</v>
      </c>
      <c r="H41" s="32">
        <v>3.57</v>
      </c>
      <c r="I41" s="1" t="s">
        <v>289</v>
      </c>
    </row>
    <row r="42" spans="1:9" hidden="1" x14ac:dyDescent="0.25">
      <c r="A42" t="s">
        <v>87</v>
      </c>
      <c r="B42" s="1" t="s">
        <v>244</v>
      </c>
      <c r="C42" s="1" t="s">
        <v>303</v>
      </c>
      <c r="D42" s="1" t="s">
        <v>292</v>
      </c>
      <c r="E42" s="1" t="s">
        <v>338</v>
      </c>
      <c r="F42" s="1" t="s">
        <v>506</v>
      </c>
      <c r="G42" s="32">
        <v>152.65</v>
      </c>
      <c r="H42" s="32">
        <v>1.53</v>
      </c>
      <c r="I42" s="1" t="s">
        <v>289</v>
      </c>
    </row>
    <row r="43" spans="1:9" hidden="1" x14ac:dyDescent="0.25">
      <c r="A43" t="s">
        <v>87</v>
      </c>
      <c r="B43" s="1" t="s">
        <v>244</v>
      </c>
      <c r="C43" s="1" t="s">
        <v>486</v>
      </c>
      <c r="D43" s="1" t="s">
        <v>292</v>
      </c>
      <c r="E43" s="1" t="s">
        <v>338</v>
      </c>
      <c r="F43" s="1" t="s">
        <v>507</v>
      </c>
      <c r="G43" s="32">
        <v>152.65</v>
      </c>
      <c r="H43" s="32">
        <v>1.53</v>
      </c>
      <c r="I43" s="1" t="s">
        <v>289</v>
      </c>
    </row>
    <row r="44" spans="1:9" hidden="1" x14ac:dyDescent="0.25">
      <c r="A44" t="s">
        <v>87</v>
      </c>
      <c r="B44" s="1" t="s">
        <v>248</v>
      </c>
      <c r="C44" s="1" t="s">
        <v>116</v>
      </c>
      <c r="D44" s="1" t="s">
        <v>292</v>
      </c>
      <c r="E44" s="1" t="s">
        <v>296</v>
      </c>
      <c r="F44" s="1" t="s">
        <v>508</v>
      </c>
      <c r="G44" s="32">
        <v>165.92</v>
      </c>
      <c r="H44" s="32">
        <v>1.66</v>
      </c>
      <c r="I44" s="1" t="s">
        <v>289</v>
      </c>
    </row>
    <row r="45" spans="1:9" hidden="1" x14ac:dyDescent="0.25">
      <c r="A45" t="s">
        <v>87</v>
      </c>
      <c r="B45" s="1" t="s">
        <v>272</v>
      </c>
      <c r="C45" s="1" t="s">
        <v>458</v>
      </c>
      <c r="D45" s="1" t="s">
        <v>292</v>
      </c>
      <c r="E45" s="1" t="s">
        <v>296</v>
      </c>
      <c r="F45" s="1" t="s">
        <v>509</v>
      </c>
      <c r="G45" s="32">
        <v>377.6</v>
      </c>
      <c r="H45" s="32">
        <v>3.78</v>
      </c>
      <c r="I45" s="1" t="s">
        <v>289</v>
      </c>
    </row>
    <row r="46" spans="1:9" hidden="1" x14ac:dyDescent="0.25">
      <c r="A46" t="s">
        <v>87</v>
      </c>
      <c r="B46" s="1" t="s">
        <v>270</v>
      </c>
      <c r="C46" s="1" t="s">
        <v>486</v>
      </c>
      <c r="D46" s="1" t="s">
        <v>292</v>
      </c>
      <c r="E46" s="1" t="s">
        <v>296</v>
      </c>
      <c r="F46" s="1" t="s">
        <v>510</v>
      </c>
      <c r="G46" s="32">
        <v>148.04</v>
      </c>
      <c r="H46" s="32">
        <v>1.48</v>
      </c>
      <c r="I46" s="1" t="s">
        <v>289</v>
      </c>
    </row>
    <row r="47" spans="1:9" hidden="1" x14ac:dyDescent="0.25">
      <c r="A47" t="s">
        <v>87</v>
      </c>
      <c r="B47" s="1" t="s">
        <v>264</v>
      </c>
      <c r="C47" s="1" t="s">
        <v>511</v>
      </c>
      <c r="D47" s="1" t="s">
        <v>292</v>
      </c>
      <c r="E47" s="1" t="s">
        <v>512</v>
      </c>
      <c r="F47" s="1" t="s">
        <v>513</v>
      </c>
      <c r="G47" s="32">
        <v>150</v>
      </c>
      <c r="H47" s="32">
        <v>1.5</v>
      </c>
      <c r="I47" s="1" t="s">
        <v>289</v>
      </c>
    </row>
    <row r="48" spans="1:9" hidden="1" x14ac:dyDescent="0.25">
      <c r="A48" t="s">
        <v>87</v>
      </c>
      <c r="B48" s="1" t="s">
        <v>240</v>
      </c>
      <c r="C48" s="1" t="s">
        <v>100</v>
      </c>
      <c r="D48" s="1" t="s">
        <v>292</v>
      </c>
      <c r="E48" s="1" t="s">
        <v>291</v>
      </c>
      <c r="F48" s="1" t="s">
        <v>514</v>
      </c>
      <c r="G48" s="32">
        <v>9477.36</v>
      </c>
      <c r="H48" s="32">
        <v>94.77</v>
      </c>
      <c r="I48" s="1" t="s">
        <v>289</v>
      </c>
    </row>
    <row r="49" spans="1:9" hidden="1" x14ac:dyDescent="0.25">
      <c r="A49" t="s">
        <v>516</v>
      </c>
      <c r="B49" s="1" t="s">
        <v>244</v>
      </c>
      <c r="C49" s="1" t="s">
        <v>96</v>
      </c>
      <c r="D49" s="1" t="s">
        <v>292</v>
      </c>
      <c r="E49" s="1" t="s">
        <v>338</v>
      </c>
      <c r="F49" s="1" t="s">
        <v>573</v>
      </c>
      <c r="G49" s="32">
        <v>152.65</v>
      </c>
      <c r="H49" s="32">
        <v>1.53</v>
      </c>
      <c r="I49" s="1" t="s">
        <v>289</v>
      </c>
    </row>
    <row r="50" spans="1:9" hidden="1" x14ac:dyDescent="0.25">
      <c r="A50" t="s">
        <v>516</v>
      </c>
      <c r="B50" s="1" t="s">
        <v>244</v>
      </c>
      <c r="C50" s="1" t="s">
        <v>96</v>
      </c>
      <c r="D50" s="1" t="s">
        <v>292</v>
      </c>
      <c r="E50" s="1" t="s">
        <v>338</v>
      </c>
      <c r="F50" s="1" t="s">
        <v>574</v>
      </c>
      <c r="G50" s="32">
        <v>152.65</v>
      </c>
      <c r="H50" s="32">
        <v>1.53</v>
      </c>
      <c r="I50" s="1" t="s">
        <v>289</v>
      </c>
    </row>
    <row r="51" spans="1:9" hidden="1" x14ac:dyDescent="0.25">
      <c r="A51" t="s">
        <v>516</v>
      </c>
      <c r="B51" s="1" t="s">
        <v>244</v>
      </c>
      <c r="C51" s="1" t="s">
        <v>96</v>
      </c>
      <c r="D51" s="1" t="s">
        <v>292</v>
      </c>
      <c r="E51" s="1" t="s">
        <v>338</v>
      </c>
      <c r="F51" s="1" t="s">
        <v>575</v>
      </c>
      <c r="G51" s="32">
        <v>357.36</v>
      </c>
      <c r="H51" s="32">
        <v>3.57</v>
      </c>
      <c r="I51" s="1" t="s">
        <v>289</v>
      </c>
    </row>
    <row r="52" spans="1:9" hidden="1" x14ac:dyDescent="0.25">
      <c r="A52" t="s">
        <v>516</v>
      </c>
      <c r="B52" s="1" t="s">
        <v>276</v>
      </c>
      <c r="C52" s="1" t="s">
        <v>457</v>
      </c>
      <c r="D52" s="1" t="s">
        <v>292</v>
      </c>
      <c r="E52" s="1" t="s">
        <v>296</v>
      </c>
      <c r="F52" s="1" t="s">
        <v>576</v>
      </c>
      <c r="G52" s="32">
        <v>1292.76</v>
      </c>
      <c r="H52" s="32">
        <v>12.93</v>
      </c>
      <c r="I52" s="1" t="s">
        <v>289</v>
      </c>
    </row>
    <row r="53" spans="1:9" hidden="1" x14ac:dyDescent="0.25">
      <c r="A53" t="s">
        <v>516</v>
      </c>
      <c r="B53" s="1" t="s">
        <v>276</v>
      </c>
      <c r="C53" s="1" t="s">
        <v>105</v>
      </c>
      <c r="D53" s="1" t="s">
        <v>292</v>
      </c>
      <c r="E53" s="1" t="s">
        <v>296</v>
      </c>
      <c r="F53" s="1" t="s">
        <v>577</v>
      </c>
      <c r="G53" s="32">
        <v>1292.76</v>
      </c>
      <c r="H53" s="32">
        <v>12.93</v>
      </c>
      <c r="I53" s="1" t="s">
        <v>289</v>
      </c>
    </row>
    <row r="54" spans="1:9" hidden="1" x14ac:dyDescent="0.25">
      <c r="A54" t="s">
        <v>516</v>
      </c>
      <c r="B54" s="1" t="s">
        <v>268</v>
      </c>
      <c r="C54" s="1" t="s">
        <v>117</v>
      </c>
      <c r="D54" s="1" t="s">
        <v>292</v>
      </c>
      <c r="E54" s="1" t="s">
        <v>296</v>
      </c>
      <c r="F54" s="1" t="s">
        <v>578</v>
      </c>
      <c r="G54" s="32">
        <v>750</v>
      </c>
      <c r="H54" s="32">
        <v>7.5</v>
      </c>
      <c r="I54" s="1" t="s">
        <v>289</v>
      </c>
    </row>
    <row r="55" spans="1:9" hidden="1" x14ac:dyDescent="0.25">
      <c r="A55" t="s">
        <v>516</v>
      </c>
      <c r="B55" s="1" t="s">
        <v>272</v>
      </c>
      <c r="C55" s="1" t="s">
        <v>111</v>
      </c>
      <c r="D55" s="1" t="s">
        <v>292</v>
      </c>
      <c r="E55" s="1" t="s">
        <v>296</v>
      </c>
      <c r="F55" s="1" t="s">
        <v>579</v>
      </c>
      <c r="G55" s="32">
        <v>377.6</v>
      </c>
      <c r="H55" s="32">
        <v>3.78</v>
      </c>
      <c r="I55" s="1" t="s">
        <v>289</v>
      </c>
    </row>
    <row r="56" spans="1:9" hidden="1" x14ac:dyDescent="0.25">
      <c r="A56" t="s">
        <v>516</v>
      </c>
      <c r="B56" s="1" t="s">
        <v>270</v>
      </c>
      <c r="C56" s="1" t="s">
        <v>111</v>
      </c>
      <c r="D56" s="1" t="s">
        <v>292</v>
      </c>
      <c r="E56" s="1" t="s">
        <v>296</v>
      </c>
      <c r="F56" s="1" t="s">
        <v>580</v>
      </c>
      <c r="G56" s="32">
        <v>148.04</v>
      </c>
      <c r="H56" s="32">
        <v>1.48</v>
      </c>
      <c r="I56" s="1" t="s">
        <v>289</v>
      </c>
    </row>
    <row r="57" spans="1:9" hidden="1" x14ac:dyDescent="0.25">
      <c r="A57" t="s">
        <v>516</v>
      </c>
      <c r="B57" s="1" t="s">
        <v>264</v>
      </c>
      <c r="C57" s="1" t="s">
        <v>486</v>
      </c>
      <c r="D57" s="1" t="s">
        <v>292</v>
      </c>
      <c r="E57" s="1" t="s">
        <v>322</v>
      </c>
      <c r="F57" s="1" t="s">
        <v>581</v>
      </c>
      <c r="G57" s="32">
        <v>150</v>
      </c>
      <c r="H57" s="32">
        <v>1.5</v>
      </c>
      <c r="I57" s="1" t="s">
        <v>289</v>
      </c>
    </row>
    <row r="58" spans="1:9" hidden="1" x14ac:dyDescent="0.25">
      <c r="A58" t="s">
        <v>567</v>
      </c>
      <c r="B58" s="1" t="s">
        <v>256</v>
      </c>
      <c r="C58" s="1" t="s">
        <v>676</v>
      </c>
      <c r="D58" s="1" t="s">
        <v>292</v>
      </c>
      <c r="E58" s="1" t="s">
        <v>677</v>
      </c>
      <c r="F58" s="1" t="s">
        <v>678</v>
      </c>
      <c r="G58" s="32">
        <v>630</v>
      </c>
      <c r="H58" s="32">
        <v>6.3</v>
      </c>
      <c r="I58" s="1" t="s">
        <v>289</v>
      </c>
    </row>
    <row r="59" spans="1:9" hidden="1" x14ac:dyDescent="0.25">
      <c r="A59" t="s">
        <v>567</v>
      </c>
      <c r="B59" s="1" t="s">
        <v>256</v>
      </c>
      <c r="C59" s="1" t="s">
        <v>533</v>
      </c>
      <c r="D59" s="1" t="s">
        <v>292</v>
      </c>
      <c r="E59" s="1" t="s">
        <v>677</v>
      </c>
      <c r="F59" s="1" t="s">
        <v>679</v>
      </c>
      <c r="G59" s="32">
        <v>315</v>
      </c>
      <c r="H59" s="32">
        <v>3.15</v>
      </c>
      <c r="I59" s="1" t="s">
        <v>289</v>
      </c>
    </row>
    <row r="60" spans="1:9" hidden="1" x14ac:dyDescent="0.25">
      <c r="A60" t="s">
        <v>567</v>
      </c>
      <c r="B60" s="1" t="s">
        <v>256</v>
      </c>
      <c r="C60" s="1" t="s">
        <v>105</v>
      </c>
      <c r="D60" s="1" t="s">
        <v>292</v>
      </c>
      <c r="E60" s="1" t="s">
        <v>677</v>
      </c>
      <c r="F60" s="1" t="s">
        <v>680</v>
      </c>
      <c r="G60" s="32">
        <v>375</v>
      </c>
      <c r="H60" s="32">
        <v>3.75</v>
      </c>
      <c r="I60" s="1" t="s">
        <v>289</v>
      </c>
    </row>
    <row r="61" spans="1:9" hidden="1" x14ac:dyDescent="0.25">
      <c r="A61" t="s">
        <v>567</v>
      </c>
      <c r="B61" s="1" t="s">
        <v>256</v>
      </c>
      <c r="C61" s="1" t="s">
        <v>676</v>
      </c>
      <c r="D61" s="1" t="s">
        <v>292</v>
      </c>
      <c r="E61" s="1" t="s">
        <v>677</v>
      </c>
      <c r="F61" s="1" t="s">
        <v>681</v>
      </c>
      <c r="G61" s="32">
        <v>390</v>
      </c>
      <c r="H61" s="32">
        <v>3.9</v>
      </c>
      <c r="I61" s="1" t="s">
        <v>289</v>
      </c>
    </row>
    <row r="62" spans="1:9" hidden="1" x14ac:dyDescent="0.25">
      <c r="A62" t="s">
        <v>567</v>
      </c>
      <c r="B62" s="1" t="s">
        <v>268</v>
      </c>
      <c r="C62" s="1" t="s">
        <v>531</v>
      </c>
      <c r="D62" s="1" t="s">
        <v>292</v>
      </c>
      <c r="E62" s="1" t="s">
        <v>296</v>
      </c>
      <c r="F62" s="1" t="s">
        <v>682</v>
      </c>
      <c r="G62" s="32">
        <v>750</v>
      </c>
      <c r="H62" s="32">
        <v>7.5</v>
      </c>
      <c r="I62" s="1" t="s">
        <v>289</v>
      </c>
    </row>
    <row r="63" spans="1:9" hidden="1" x14ac:dyDescent="0.25">
      <c r="A63" t="s">
        <v>567</v>
      </c>
      <c r="B63" s="1" t="s">
        <v>268</v>
      </c>
      <c r="C63" s="1" t="s">
        <v>569</v>
      </c>
      <c r="D63" s="1" t="s">
        <v>292</v>
      </c>
      <c r="E63" s="1" t="s">
        <v>296</v>
      </c>
      <c r="F63" s="1" t="s">
        <v>683</v>
      </c>
      <c r="G63" s="32">
        <v>750</v>
      </c>
      <c r="H63" s="32">
        <v>7.5</v>
      </c>
      <c r="I63" s="1" t="s">
        <v>289</v>
      </c>
    </row>
    <row r="64" spans="1:9" hidden="1" x14ac:dyDescent="0.25">
      <c r="A64" t="s">
        <v>567</v>
      </c>
      <c r="B64" s="1" t="s">
        <v>274</v>
      </c>
      <c r="C64" s="1" t="s">
        <v>112</v>
      </c>
      <c r="D64" s="1" t="s">
        <v>292</v>
      </c>
      <c r="E64" s="1" t="s">
        <v>291</v>
      </c>
      <c r="F64" s="1" t="s">
        <v>684</v>
      </c>
      <c r="G64" s="32">
        <v>141.1</v>
      </c>
      <c r="H64" s="32">
        <v>1.41</v>
      </c>
      <c r="I64" s="1" t="s">
        <v>289</v>
      </c>
    </row>
    <row r="65" spans="1:9" hidden="1" x14ac:dyDescent="0.25">
      <c r="A65" t="s">
        <v>567</v>
      </c>
      <c r="B65" s="1" t="s">
        <v>282</v>
      </c>
      <c r="C65" s="1" t="s">
        <v>96</v>
      </c>
      <c r="D65" s="1" t="s">
        <v>292</v>
      </c>
      <c r="E65" s="1" t="s">
        <v>296</v>
      </c>
      <c r="F65" s="1" t="s">
        <v>685</v>
      </c>
      <c r="G65" s="32">
        <v>143.65</v>
      </c>
      <c r="H65" s="32">
        <v>1.44</v>
      </c>
      <c r="I65" s="1" t="s">
        <v>289</v>
      </c>
    </row>
    <row r="66" spans="1:9" hidden="1" x14ac:dyDescent="0.25">
      <c r="A66" t="s">
        <v>567</v>
      </c>
      <c r="B66" s="1" t="s">
        <v>282</v>
      </c>
      <c r="C66" s="1" t="s">
        <v>547</v>
      </c>
      <c r="D66" s="1" t="s">
        <v>292</v>
      </c>
      <c r="E66" s="1" t="s">
        <v>296</v>
      </c>
      <c r="F66" s="1" t="s">
        <v>686</v>
      </c>
      <c r="G66" s="32">
        <v>143.63999999999999</v>
      </c>
      <c r="H66" s="32">
        <v>1.43</v>
      </c>
      <c r="I66" s="1" t="s">
        <v>289</v>
      </c>
    </row>
    <row r="67" spans="1:9" hidden="1" x14ac:dyDescent="0.25">
      <c r="A67" t="s">
        <v>567</v>
      </c>
      <c r="B67" s="1" t="s">
        <v>282</v>
      </c>
      <c r="C67" s="1" t="s">
        <v>122</v>
      </c>
      <c r="D67" s="1" t="s">
        <v>292</v>
      </c>
      <c r="E67" s="1" t="s">
        <v>296</v>
      </c>
      <c r="F67" s="1" t="s">
        <v>687</v>
      </c>
      <c r="G67" s="32">
        <v>143.63999999999999</v>
      </c>
      <c r="H67" s="32">
        <v>1.43</v>
      </c>
      <c r="I67" s="1" t="s">
        <v>289</v>
      </c>
    </row>
    <row r="68" spans="1:9" hidden="1" x14ac:dyDescent="0.25">
      <c r="A68" t="s">
        <v>567</v>
      </c>
      <c r="B68" s="1" t="s">
        <v>272</v>
      </c>
      <c r="C68" s="1" t="s">
        <v>541</v>
      </c>
      <c r="D68" s="1" t="s">
        <v>292</v>
      </c>
      <c r="E68" s="1" t="s">
        <v>296</v>
      </c>
      <c r="F68" s="1" t="s">
        <v>688</v>
      </c>
      <c r="G68" s="32">
        <v>377.6</v>
      </c>
      <c r="H68" s="32">
        <v>3.78</v>
      </c>
      <c r="I68" s="1" t="s">
        <v>289</v>
      </c>
    </row>
    <row r="69" spans="1:9" hidden="1" x14ac:dyDescent="0.25">
      <c r="A69" t="s">
        <v>567</v>
      </c>
      <c r="B69" s="1" t="s">
        <v>248</v>
      </c>
      <c r="C69" s="1" t="s">
        <v>545</v>
      </c>
      <c r="D69" s="1" t="s">
        <v>292</v>
      </c>
      <c r="E69" s="1" t="s">
        <v>296</v>
      </c>
      <c r="F69" s="1" t="s">
        <v>689</v>
      </c>
      <c r="G69" s="32">
        <v>165.92</v>
      </c>
      <c r="H69" s="32">
        <v>1.66</v>
      </c>
      <c r="I69" s="1" t="s">
        <v>289</v>
      </c>
    </row>
    <row r="70" spans="1:9" hidden="1" x14ac:dyDescent="0.25">
      <c r="A70" t="s">
        <v>567</v>
      </c>
      <c r="B70" s="1" t="s">
        <v>250</v>
      </c>
      <c r="C70" s="1" t="s">
        <v>99</v>
      </c>
      <c r="D70" s="1" t="s">
        <v>292</v>
      </c>
      <c r="E70" s="1" t="s">
        <v>305</v>
      </c>
      <c r="F70" s="1" t="s">
        <v>690</v>
      </c>
      <c r="G70" s="32">
        <v>1238.02</v>
      </c>
      <c r="H70" s="32">
        <v>12.38</v>
      </c>
      <c r="I70" s="1" t="s">
        <v>289</v>
      </c>
    </row>
    <row r="71" spans="1:9" hidden="1" x14ac:dyDescent="0.25">
      <c r="A71" t="s">
        <v>567</v>
      </c>
      <c r="B71" s="1" t="s">
        <v>264</v>
      </c>
      <c r="C71" s="1" t="s">
        <v>123</v>
      </c>
      <c r="D71" s="1" t="s">
        <v>292</v>
      </c>
      <c r="E71" s="1" t="s">
        <v>512</v>
      </c>
      <c r="F71" s="1" t="s">
        <v>691</v>
      </c>
      <c r="G71" s="32">
        <v>220</v>
      </c>
      <c r="H71" s="32">
        <v>2.2000000000000002</v>
      </c>
      <c r="I71" s="1" t="s">
        <v>289</v>
      </c>
    </row>
    <row r="72" spans="1:9" hidden="1" x14ac:dyDescent="0.25">
      <c r="A72" t="s">
        <v>567</v>
      </c>
      <c r="B72" s="1" t="s">
        <v>240</v>
      </c>
      <c r="C72" s="1" t="s">
        <v>554</v>
      </c>
      <c r="D72" s="1" t="s">
        <v>292</v>
      </c>
      <c r="E72" s="1" t="s">
        <v>305</v>
      </c>
      <c r="F72" s="1" t="s">
        <v>692</v>
      </c>
      <c r="G72" s="32">
        <v>20570.400000000001</v>
      </c>
      <c r="H72" s="32">
        <v>205.69</v>
      </c>
      <c r="I72" s="1" t="s">
        <v>289</v>
      </c>
    </row>
    <row r="73" spans="1:9" hidden="1" x14ac:dyDescent="0.25">
      <c r="A73" t="s">
        <v>701</v>
      </c>
      <c r="B73" s="1" t="s">
        <v>244</v>
      </c>
      <c r="C73" s="1" t="s">
        <v>640</v>
      </c>
      <c r="D73" s="1" t="s">
        <v>292</v>
      </c>
      <c r="E73" s="1" t="s">
        <v>512</v>
      </c>
      <c r="F73" s="1" t="s">
        <v>735</v>
      </c>
      <c r="G73" s="32">
        <v>152.65</v>
      </c>
      <c r="H73" s="32">
        <v>1.53</v>
      </c>
      <c r="I73" s="1" t="s">
        <v>289</v>
      </c>
    </row>
    <row r="74" spans="1:9" hidden="1" x14ac:dyDescent="0.25">
      <c r="A74" t="s">
        <v>701</v>
      </c>
      <c r="B74" s="1" t="s">
        <v>244</v>
      </c>
      <c r="C74" s="1" t="s">
        <v>649</v>
      </c>
      <c r="D74" s="1" t="s">
        <v>292</v>
      </c>
      <c r="E74" s="1" t="s">
        <v>512</v>
      </c>
      <c r="F74" s="1" t="s">
        <v>736</v>
      </c>
      <c r="G74" s="32">
        <v>357.36</v>
      </c>
      <c r="H74" s="32">
        <v>3.57</v>
      </c>
      <c r="I74" s="1" t="s">
        <v>289</v>
      </c>
    </row>
    <row r="75" spans="1:9" hidden="1" x14ac:dyDescent="0.25">
      <c r="A75" t="s">
        <v>701</v>
      </c>
      <c r="B75" s="1" t="s">
        <v>244</v>
      </c>
      <c r="C75" s="1" t="s">
        <v>630</v>
      </c>
      <c r="D75" s="1" t="s">
        <v>292</v>
      </c>
      <c r="E75" s="1" t="s">
        <v>512</v>
      </c>
      <c r="F75" s="1" t="s">
        <v>737</v>
      </c>
      <c r="G75" s="32">
        <v>152.65</v>
      </c>
      <c r="H75" s="32">
        <v>1.53</v>
      </c>
      <c r="I75" s="1" t="s">
        <v>289</v>
      </c>
    </row>
    <row r="76" spans="1:9" hidden="1" x14ac:dyDescent="0.25">
      <c r="A76" t="s">
        <v>701</v>
      </c>
      <c r="B76" s="1" t="s">
        <v>272</v>
      </c>
      <c r="C76" s="1" t="s">
        <v>642</v>
      </c>
      <c r="D76" s="1" t="s">
        <v>292</v>
      </c>
      <c r="E76" s="1" t="s">
        <v>296</v>
      </c>
      <c r="F76" s="1" t="s">
        <v>738</v>
      </c>
      <c r="G76" s="32">
        <v>377.6</v>
      </c>
      <c r="H76" s="32">
        <v>3.78</v>
      </c>
      <c r="I76" s="1" t="s">
        <v>289</v>
      </c>
    </row>
    <row r="77" spans="1:9" hidden="1" x14ac:dyDescent="0.25">
      <c r="A77" t="s">
        <v>701</v>
      </c>
      <c r="B77" s="1" t="s">
        <v>248</v>
      </c>
      <c r="C77" s="1" t="s">
        <v>650</v>
      </c>
      <c r="D77" s="1" t="s">
        <v>292</v>
      </c>
      <c r="E77" s="1" t="s">
        <v>739</v>
      </c>
      <c r="F77" s="1" t="s">
        <v>740</v>
      </c>
      <c r="G77" s="32">
        <v>165.92</v>
      </c>
      <c r="H77" s="32">
        <v>1.66</v>
      </c>
      <c r="I77" s="1" t="s">
        <v>289</v>
      </c>
    </row>
    <row r="78" spans="1:9" hidden="1" x14ac:dyDescent="0.25">
      <c r="A78" t="s">
        <v>701</v>
      </c>
      <c r="B78" s="1" t="s">
        <v>268</v>
      </c>
      <c r="C78" s="1" t="s">
        <v>705</v>
      </c>
      <c r="D78" s="1" t="s">
        <v>292</v>
      </c>
      <c r="E78" s="1" t="s">
        <v>296</v>
      </c>
      <c r="F78" s="1" t="s">
        <v>741</v>
      </c>
      <c r="G78" s="32">
        <v>750</v>
      </c>
      <c r="H78" s="32">
        <v>7.5</v>
      </c>
      <c r="I78" s="1" t="s">
        <v>289</v>
      </c>
    </row>
    <row r="79" spans="1:9" hidden="1" x14ac:dyDescent="0.25">
      <c r="A79" t="s">
        <v>701</v>
      </c>
      <c r="B79" s="1" t="s">
        <v>264</v>
      </c>
      <c r="C79" s="1" t="s">
        <v>519</v>
      </c>
      <c r="D79" s="1" t="s">
        <v>292</v>
      </c>
      <c r="E79" s="1" t="s">
        <v>512</v>
      </c>
      <c r="F79" s="1" t="s">
        <v>742</v>
      </c>
      <c r="G79" s="32">
        <v>150</v>
      </c>
      <c r="H79" s="32">
        <v>1.5</v>
      </c>
      <c r="I79" s="1" t="s">
        <v>289</v>
      </c>
    </row>
    <row r="80" spans="1:9" hidden="1" x14ac:dyDescent="0.25">
      <c r="A80" t="s">
        <v>701</v>
      </c>
      <c r="B80" s="1" t="s">
        <v>240</v>
      </c>
      <c r="C80" s="1" t="s">
        <v>633</v>
      </c>
      <c r="D80" s="1" t="s">
        <v>292</v>
      </c>
      <c r="E80" s="1" t="s">
        <v>305</v>
      </c>
      <c r="F80" s="1" t="s">
        <v>743</v>
      </c>
      <c r="G80" s="32">
        <v>1460</v>
      </c>
      <c r="H80" s="32">
        <v>14.6</v>
      </c>
      <c r="I80" s="1" t="s">
        <v>289</v>
      </c>
    </row>
    <row r="81" spans="1:9" x14ac:dyDescent="0.25">
      <c r="A81" t="s">
        <v>788</v>
      </c>
      <c r="B81" s="1" t="s">
        <v>244</v>
      </c>
      <c r="C81" s="1" t="s">
        <v>759</v>
      </c>
      <c r="D81" s="1" t="s">
        <v>292</v>
      </c>
      <c r="E81" s="1" t="s">
        <v>512</v>
      </c>
      <c r="F81" s="1" t="s">
        <v>829</v>
      </c>
      <c r="G81" s="32">
        <v>152.65</v>
      </c>
      <c r="H81" s="32">
        <v>1.53</v>
      </c>
      <c r="I81" s="1" t="s">
        <v>289</v>
      </c>
    </row>
    <row r="82" spans="1:9" x14ac:dyDescent="0.25">
      <c r="A82" t="s">
        <v>788</v>
      </c>
      <c r="B82" s="1" t="s">
        <v>244</v>
      </c>
      <c r="C82" s="1" t="s">
        <v>759</v>
      </c>
      <c r="D82" s="1" t="s">
        <v>292</v>
      </c>
      <c r="E82" s="1" t="s">
        <v>512</v>
      </c>
      <c r="F82" s="1" t="s">
        <v>830</v>
      </c>
      <c r="G82" s="32">
        <v>357.36</v>
      </c>
      <c r="H82" s="32">
        <v>3.57</v>
      </c>
      <c r="I82" s="1" t="s">
        <v>289</v>
      </c>
    </row>
    <row r="83" spans="1:9" x14ac:dyDescent="0.25">
      <c r="A83" t="s">
        <v>788</v>
      </c>
      <c r="B83" s="1" t="s">
        <v>244</v>
      </c>
      <c r="C83" s="1" t="s">
        <v>760</v>
      </c>
      <c r="D83" s="1" t="s">
        <v>292</v>
      </c>
      <c r="E83" s="1" t="s">
        <v>512</v>
      </c>
      <c r="F83" s="1" t="s">
        <v>831</v>
      </c>
      <c r="G83" s="32">
        <v>152.65</v>
      </c>
      <c r="H83" s="32">
        <v>1.53</v>
      </c>
      <c r="I83" s="1" t="s">
        <v>289</v>
      </c>
    </row>
    <row r="84" spans="1:9" x14ac:dyDescent="0.25">
      <c r="A84" t="s">
        <v>788</v>
      </c>
      <c r="B84" s="1" t="s">
        <v>276</v>
      </c>
      <c r="C84" s="1" t="s">
        <v>757</v>
      </c>
      <c r="D84" s="1" t="s">
        <v>292</v>
      </c>
      <c r="E84" s="1" t="s">
        <v>296</v>
      </c>
      <c r="F84" s="1" t="s">
        <v>832</v>
      </c>
      <c r="G84" s="32">
        <v>1149.1199999999999</v>
      </c>
      <c r="H84" s="32">
        <v>11.49</v>
      </c>
      <c r="I84" s="1" t="s">
        <v>289</v>
      </c>
    </row>
    <row r="85" spans="1:9" x14ac:dyDescent="0.25">
      <c r="A85" t="s">
        <v>788</v>
      </c>
      <c r="B85" s="1" t="s">
        <v>276</v>
      </c>
      <c r="C85" s="1" t="s">
        <v>802</v>
      </c>
      <c r="D85" s="1" t="s">
        <v>292</v>
      </c>
      <c r="E85" s="1" t="s">
        <v>296</v>
      </c>
      <c r="F85" s="1" t="s">
        <v>833</v>
      </c>
      <c r="G85" s="32">
        <v>179.2</v>
      </c>
      <c r="H85" s="32">
        <v>1.79</v>
      </c>
      <c r="I85" s="1" t="s">
        <v>289</v>
      </c>
    </row>
    <row r="86" spans="1:9" x14ac:dyDescent="0.25">
      <c r="A86" t="s">
        <v>788</v>
      </c>
      <c r="B86" s="1" t="s">
        <v>282</v>
      </c>
      <c r="C86" s="1" t="s">
        <v>757</v>
      </c>
      <c r="D86" s="1" t="s">
        <v>292</v>
      </c>
      <c r="E86" s="1" t="s">
        <v>296</v>
      </c>
      <c r="F86" s="1" t="s">
        <v>834</v>
      </c>
      <c r="G86" s="32">
        <v>143.65</v>
      </c>
      <c r="H86" s="32">
        <v>1.44</v>
      </c>
      <c r="I86" s="1" t="s">
        <v>289</v>
      </c>
    </row>
    <row r="87" spans="1:9" x14ac:dyDescent="0.25">
      <c r="A87" t="s">
        <v>788</v>
      </c>
      <c r="B87" s="1" t="s">
        <v>240</v>
      </c>
      <c r="C87" s="1" t="s">
        <v>769</v>
      </c>
      <c r="D87" s="1" t="s">
        <v>292</v>
      </c>
      <c r="E87" s="1" t="s">
        <v>305</v>
      </c>
      <c r="F87" s="1" t="s">
        <v>835</v>
      </c>
      <c r="G87" s="32">
        <v>2147</v>
      </c>
      <c r="H87" s="32">
        <v>21.47</v>
      </c>
      <c r="I87" s="1" t="s">
        <v>289</v>
      </c>
    </row>
    <row r="88" spans="1:9" x14ac:dyDescent="0.25">
      <c r="A88" t="s">
        <v>788</v>
      </c>
      <c r="B88" s="1" t="s">
        <v>240</v>
      </c>
      <c r="C88" s="1" t="s">
        <v>769</v>
      </c>
      <c r="D88" s="1" t="s">
        <v>292</v>
      </c>
      <c r="E88" s="1" t="s">
        <v>305</v>
      </c>
      <c r="F88" s="1" t="s">
        <v>836</v>
      </c>
      <c r="G88" s="32">
        <v>10505</v>
      </c>
      <c r="H88" s="32">
        <v>105.05</v>
      </c>
      <c r="I88" s="1" t="s">
        <v>289</v>
      </c>
    </row>
    <row r="89" spans="1:9" x14ac:dyDescent="0.25">
      <c r="A89" t="s">
        <v>518</v>
      </c>
      <c r="B89"/>
      <c r="C89"/>
      <c r="D89"/>
      <c r="E89"/>
      <c r="F89"/>
      <c r="G89" s="32">
        <f>SUBTOTAL(109,Tabla4[MONTO])</f>
        <v>14786.63</v>
      </c>
      <c r="H89" s="32">
        <f>SUBTOTAL(109,Tabla4[RETENCION])</f>
        <v>147.87</v>
      </c>
      <c r="I8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FF0000"/>
  </sheetPr>
  <dimension ref="A1:T2997"/>
  <sheetViews>
    <sheetView topLeftCell="A28" workbookViewId="0">
      <selection activeCell="A35" sqref="A35:A44"/>
    </sheetView>
  </sheetViews>
  <sheetFormatPr baseColWidth="10" defaultRowHeight="15" x14ac:dyDescent="0.25"/>
  <cols>
    <col min="2" max="3" width="11.42578125" style="1"/>
    <col min="4" max="4" width="32.28515625" style="1" bestFit="1" customWidth="1"/>
    <col min="5" max="5" width="15" style="1" bestFit="1" customWidth="1"/>
    <col min="6" max="6" width="15" style="1" customWidth="1"/>
    <col min="7" max="7" width="11.42578125" style="1"/>
    <col min="8" max="8" width="11.42578125" style="32"/>
    <col min="9" max="9" width="11.42578125" style="1"/>
    <col min="10" max="10" width="11.42578125" style="32"/>
    <col min="11" max="20" width="11.42578125" style="1"/>
  </cols>
  <sheetData>
    <row r="1" spans="1:20" x14ac:dyDescent="0.25">
      <c r="A1" t="s">
        <v>17</v>
      </c>
      <c r="B1" s="1" t="s">
        <v>401</v>
      </c>
      <c r="C1" s="1" t="s">
        <v>400</v>
      </c>
      <c r="D1" s="1" t="s">
        <v>399</v>
      </c>
      <c r="E1" s="1" t="s">
        <v>70</v>
      </c>
      <c r="F1" s="1" t="s">
        <v>838</v>
      </c>
      <c r="G1" s="1" t="s">
        <v>398</v>
      </c>
      <c r="H1" s="32" t="s">
        <v>397</v>
      </c>
      <c r="I1" s="1" t="s">
        <v>396</v>
      </c>
      <c r="J1" s="32" t="s">
        <v>395</v>
      </c>
      <c r="K1" s="1" t="s">
        <v>394</v>
      </c>
      <c r="L1" s="1" t="s">
        <v>393</v>
      </c>
      <c r="M1" s="1" t="s">
        <v>392</v>
      </c>
      <c r="N1" s="1" t="s">
        <v>391</v>
      </c>
      <c r="O1" s="1" t="s">
        <v>390</v>
      </c>
      <c r="P1" s="1" t="s">
        <v>389</v>
      </c>
      <c r="Q1" s="1" t="s">
        <v>388</v>
      </c>
      <c r="R1" s="1" t="s">
        <v>387</v>
      </c>
      <c r="S1" s="1" t="s">
        <v>386</v>
      </c>
      <c r="T1" s="1" t="s">
        <v>385</v>
      </c>
    </row>
    <row r="2" spans="1:20" x14ac:dyDescent="0.25">
      <c r="A2" t="s">
        <v>342</v>
      </c>
      <c r="B2" s="1" t="s">
        <v>1</v>
      </c>
      <c r="C2" s="1" t="s">
        <v>371</v>
      </c>
      <c r="D2" s="1" t="s">
        <v>375</v>
      </c>
      <c r="E2" s="1" t="s">
        <v>374</v>
      </c>
      <c r="G2" s="1" t="s">
        <v>378</v>
      </c>
      <c r="H2" s="2">
        <v>2183.33</v>
      </c>
      <c r="I2" s="1" t="s">
        <v>129</v>
      </c>
      <c r="J2" s="32">
        <v>218.33</v>
      </c>
      <c r="K2" s="1" t="s">
        <v>129</v>
      </c>
      <c r="L2" s="1" t="s">
        <v>129</v>
      </c>
      <c r="M2" s="1" t="s">
        <v>129</v>
      </c>
      <c r="N2" s="1" t="s">
        <v>129</v>
      </c>
      <c r="O2" s="1" t="s">
        <v>129</v>
      </c>
      <c r="P2" s="1" t="s">
        <v>129</v>
      </c>
      <c r="Q2" s="1" t="s">
        <v>129</v>
      </c>
      <c r="R2" s="1" t="s">
        <v>129</v>
      </c>
      <c r="S2" s="1" t="s">
        <v>129</v>
      </c>
      <c r="T2" s="1" t="s">
        <v>382</v>
      </c>
    </row>
    <row r="3" spans="1:20" x14ac:dyDescent="0.25">
      <c r="A3" t="s">
        <v>342</v>
      </c>
      <c r="B3" s="1" t="s">
        <v>1</v>
      </c>
      <c r="C3" s="1" t="s">
        <v>371</v>
      </c>
      <c r="D3" s="1" t="s">
        <v>373</v>
      </c>
      <c r="E3" s="1" t="s">
        <v>372</v>
      </c>
      <c r="G3" s="1" t="s">
        <v>378</v>
      </c>
      <c r="H3" s="2">
        <v>158.88999999999999</v>
      </c>
      <c r="I3" s="1" t="s">
        <v>129</v>
      </c>
      <c r="J3" s="32">
        <v>15.89</v>
      </c>
      <c r="K3" s="1" t="s">
        <v>129</v>
      </c>
      <c r="L3" s="1" t="s">
        <v>129</v>
      </c>
      <c r="M3" s="1" t="s">
        <v>129</v>
      </c>
      <c r="N3" s="1" t="s">
        <v>129</v>
      </c>
      <c r="O3" s="1" t="s">
        <v>129</v>
      </c>
      <c r="P3" s="1" t="s">
        <v>129</v>
      </c>
      <c r="Q3" s="1" t="s">
        <v>129</v>
      </c>
      <c r="R3" s="1" t="s">
        <v>129</v>
      </c>
      <c r="S3" s="1" t="s">
        <v>129</v>
      </c>
      <c r="T3" s="1" t="s">
        <v>382</v>
      </c>
    </row>
    <row r="4" spans="1:20" x14ac:dyDescent="0.25">
      <c r="A4" t="s">
        <v>342</v>
      </c>
      <c r="B4" s="1" t="s">
        <v>1</v>
      </c>
      <c r="C4" s="1" t="s">
        <v>371</v>
      </c>
      <c r="D4" s="1" t="s">
        <v>380</v>
      </c>
      <c r="E4" s="1" t="s">
        <v>379</v>
      </c>
      <c r="G4" s="1" t="s">
        <v>378</v>
      </c>
      <c r="H4" s="2">
        <v>210</v>
      </c>
      <c r="I4" s="1" t="s">
        <v>129</v>
      </c>
      <c r="J4" s="32">
        <v>21</v>
      </c>
      <c r="K4" s="1" t="s">
        <v>129</v>
      </c>
      <c r="L4" s="1" t="s">
        <v>129</v>
      </c>
      <c r="M4" s="1" t="s">
        <v>129</v>
      </c>
      <c r="N4" s="1" t="s">
        <v>129</v>
      </c>
      <c r="O4" s="1" t="s">
        <v>129</v>
      </c>
      <c r="P4" s="1" t="s">
        <v>129</v>
      </c>
      <c r="Q4" s="1" t="s">
        <v>129</v>
      </c>
      <c r="R4" s="1" t="s">
        <v>129</v>
      </c>
      <c r="S4" s="1" t="s">
        <v>129</v>
      </c>
      <c r="T4" s="1" t="s">
        <v>382</v>
      </c>
    </row>
    <row r="5" spans="1:20" x14ac:dyDescent="0.25">
      <c r="A5" t="s">
        <v>342</v>
      </c>
      <c r="B5" s="1" t="s">
        <v>1</v>
      </c>
      <c r="C5" s="1" t="s">
        <v>371</v>
      </c>
      <c r="D5" s="1" t="s">
        <v>370</v>
      </c>
      <c r="E5" s="1" t="s">
        <v>369</v>
      </c>
      <c r="G5" s="1" t="s">
        <v>378</v>
      </c>
      <c r="H5" s="2">
        <v>288.88</v>
      </c>
      <c r="I5" s="1" t="s">
        <v>129</v>
      </c>
      <c r="J5" s="32">
        <v>28.89</v>
      </c>
      <c r="K5" s="1" t="s">
        <v>129</v>
      </c>
      <c r="L5" s="1" t="s">
        <v>129</v>
      </c>
      <c r="M5" s="1" t="s">
        <v>129</v>
      </c>
      <c r="N5" s="1" t="s">
        <v>129</v>
      </c>
      <c r="O5" s="1" t="s">
        <v>129</v>
      </c>
      <c r="P5" s="1" t="s">
        <v>129</v>
      </c>
      <c r="Q5" s="1" t="s">
        <v>129</v>
      </c>
      <c r="R5" s="1" t="s">
        <v>129</v>
      </c>
      <c r="S5" s="1" t="s">
        <v>129</v>
      </c>
      <c r="T5" s="1" t="s">
        <v>382</v>
      </c>
    </row>
    <row r="6" spans="1:20" x14ac:dyDescent="0.25">
      <c r="A6" t="s">
        <v>342</v>
      </c>
      <c r="B6" s="1" t="s">
        <v>1</v>
      </c>
      <c r="C6" s="1" t="s">
        <v>371</v>
      </c>
      <c r="D6" s="1" t="s">
        <v>375</v>
      </c>
      <c r="E6" s="1" t="s">
        <v>374</v>
      </c>
      <c r="G6" s="1" t="s">
        <v>131</v>
      </c>
      <c r="H6" s="2">
        <v>600</v>
      </c>
      <c r="I6" s="1" t="s">
        <v>129</v>
      </c>
      <c r="J6" s="32">
        <v>24.32</v>
      </c>
      <c r="K6" s="1" t="s">
        <v>129</v>
      </c>
      <c r="L6" s="1" t="s">
        <v>129</v>
      </c>
      <c r="M6" s="1" t="s">
        <v>384</v>
      </c>
      <c r="N6" s="1" t="s">
        <v>383</v>
      </c>
      <c r="O6" s="1" t="s">
        <v>129</v>
      </c>
      <c r="P6" s="1" t="s">
        <v>129</v>
      </c>
      <c r="Q6" s="1" t="s">
        <v>129</v>
      </c>
      <c r="R6" s="1" t="s">
        <v>129</v>
      </c>
      <c r="S6" s="1" t="s">
        <v>129</v>
      </c>
      <c r="T6" s="1" t="s">
        <v>382</v>
      </c>
    </row>
    <row r="7" spans="1:20" x14ac:dyDescent="0.25">
      <c r="A7" t="s">
        <v>318</v>
      </c>
      <c r="B7" s="1" t="s">
        <v>1</v>
      </c>
      <c r="C7" s="1" t="s">
        <v>371</v>
      </c>
      <c r="D7" s="1" t="s">
        <v>375</v>
      </c>
      <c r="E7" s="1" t="s">
        <v>374</v>
      </c>
      <c r="G7" s="1" t="s">
        <v>378</v>
      </c>
      <c r="H7" s="32">
        <v>322.20999999999998</v>
      </c>
      <c r="I7" s="1" t="s">
        <v>129</v>
      </c>
      <c r="J7" s="32">
        <v>32.22</v>
      </c>
      <c r="K7" s="1" t="s">
        <v>129</v>
      </c>
      <c r="L7" s="1" t="s">
        <v>129</v>
      </c>
      <c r="M7" s="1" t="s">
        <v>129</v>
      </c>
      <c r="N7" s="1" t="s">
        <v>129</v>
      </c>
      <c r="O7" s="1" t="s">
        <v>129</v>
      </c>
      <c r="P7" s="1" t="s">
        <v>129</v>
      </c>
      <c r="Q7" s="1" t="s">
        <v>129</v>
      </c>
      <c r="R7" s="1" t="s">
        <v>129</v>
      </c>
      <c r="S7" s="1" t="s">
        <v>129</v>
      </c>
      <c r="T7" s="1" t="s">
        <v>381</v>
      </c>
    </row>
    <row r="8" spans="1:20" x14ac:dyDescent="0.25">
      <c r="A8" t="s">
        <v>318</v>
      </c>
      <c r="B8" s="1" t="s">
        <v>1</v>
      </c>
      <c r="C8" s="1" t="s">
        <v>371</v>
      </c>
      <c r="D8" s="1" t="s">
        <v>373</v>
      </c>
      <c r="E8" s="1" t="s">
        <v>372</v>
      </c>
      <c r="G8" s="1" t="s">
        <v>378</v>
      </c>
      <c r="H8" s="32">
        <v>158.88999999999999</v>
      </c>
      <c r="I8" s="1" t="s">
        <v>129</v>
      </c>
      <c r="J8" s="32">
        <v>15.888999999999999</v>
      </c>
      <c r="K8" s="1" t="s">
        <v>129</v>
      </c>
      <c r="L8" s="1" t="s">
        <v>129</v>
      </c>
      <c r="M8" s="1" t="s">
        <v>129</v>
      </c>
      <c r="N8" s="1" t="s">
        <v>129</v>
      </c>
      <c r="O8" s="1" t="s">
        <v>129</v>
      </c>
      <c r="P8" s="1" t="s">
        <v>129</v>
      </c>
      <c r="Q8" s="1" t="s">
        <v>129</v>
      </c>
      <c r="R8" s="1" t="s">
        <v>129</v>
      </c>
      <c r="S8" s="1" t="s">
        <v>129</v>
      </c>
      <c r="T8" s="1" t="s">
        <v>381</v>
      </c>
    </row>
    <row r="9" spans="1:20" x14ac:dyDescent="0.25">
      <c r="A9" t="s">
        <v>318</v>
      </c>
      <c r="B9" s="1" t="s">
        <v>1</v>
      </c>
      <c r="C9" s="1" t="s">
        <v>371</v>
      </c>
      <c r="D9" s="1" t="s">
        <v>380</v>
      </c>
      <c r="E9" s="1" t="s">
        <v>379</v>
      </c>
      <c r="G9" s="1" t="s">
        <v>378</v>
      </c>
      <c r="H9" s="32">
        <v>260</v>
      </c>
      <c r="I9" s="1" t="s">
        <v>129</v>
      </c>
      <c r="J9" s="32">
        <v>26</v>
      </c>
      <c r="K9" s="1" t="s">
        <v>129</v>
      </c>
      <c r="L9" s="1" t="s">
        <v>129</v>
      </c>
      <c r="M9" s="1" t="s">
        <v>129</v>
      </c>
      <c r="N9" s="1" t="s">
        <v>129</v>
      </c>
      <c r="O9" s="1" t="s">
        <v>129</v>
      </c>
      <c r="P9" s="1" t="s">
        <v>129</v>
      </c>
      <c r="Q9" s="1" t="s">
        <v>129</v>
      </c>
      <c r="R9" s="1" t="s">
        <v>129</v>
      </c>
      <c r="S9" s="1" t="s">
        <v>129</v>
      </c>
      <c r="T9" s="1" t="s">
        <v>381</v>
      </c>
    </row>
    <row r="10" spans="1:20" x14ac:dyDescent="0.25">
      <c r="A10" t="s">
        <v>318</v>
      </c>
      <c r="B10" s="1" t="s">
        <v>1</v>
      </c>
      <c r="C10" s="1" t="s">
        <v>371</v>
      </c>
      <c r="D10" s="1" t="s">
        <v>370</v>
      </c>
      <c r="E10" s="1" t="s">
        <v>369</v>
      </c>
      <c r="G10" s="1" t="s">
        <v>378</v>
      </c>
      <c r="H10" s="32">
        <v>288.88</v>
      </c>
      <c r="I10" s="1" t="s">
        <v>129</v>
      </c>
      <c r="J10" s="32">
        <v>28.888000000000002</v>
      </c>
      <c r="K10" s="1" t="s">
        <v>129</v>
      </c>
      <c r="L10" s="1" t="s">
        <v>129</v>
      </c>
      <c r="M10" s="1" t="s">
        <v>129</v>
      </c>
      <c r="N10" s="1" t="s">
        <v>129</v>
      </c>
      <c r="O10" s="1" t="s">
        <v>129</v>
      </c>
      <c r="P10" s="1" t="s">
        <v>129</v>
      </c>
      <c r="Q10" s="1" t="s">
        <v>129</v>
      </c>
      <c r="R10" s="1" t="s">
        <v>129</v>
      </c>
      <c r="S10" s="1" t="s">
        <v>129</v>
      </c>
      <c r="T10" s="1" t="s">
        <v>381</v>
      </c>
    </row>
    <row r="11" spans="1:20" x14ac:dyDescent="0.25">
      <c r="A11" t="s">
        <v>318</v>
      </c>
      <c r="B11" s="1" t="s">
        <v>1</v>
      </c>
      <c r="C11" s="1" t="s">
        <v>371</v>
      </c>
      <c r="D11" s="1" t="s">
        <v>375</v>
      </c>
      <c r="E11" s="1" t="s">
        <v>374</v>
      </c>
      <c r="G11" s="1" t="s">
        <v>131</v>
      </c>
      <c r="H11" s="32">
        <v>1800</v>
      </c>
      <c r="I11" s="1" t="s">
        <v>129</v>
      </c>
      <c r="J11" s="32">
        <v>208.86</v>
      </c>
      <c r="K11" s="1" t="s">
        <v>129</v>
      </c>
      <c r="L11" s="1" t="s">
        <v>129</v>
      </c>
      <c r="M11" s="1" t="s">
        <v>377</v>
      </c>
      <c r="N11" s="1" t="s">
        <v>376</v>
      </c>
      <c r="O11" s="1" t="s">
        <v>129</v>
      </c>
      <c r="P11" s="1" t="s">
        <v>129</v>
      </c>
      <c r="Q11" s="1" t="s">
        <v>129</v>
      </c>
      <c r="R11" s="1" t="s">
        <v>129</v>
      </c>
      <c r="S11" s="1" t="s">
        <v>129</v>
      </c>
      <c r="T11" s="1" t="s">
        <v>381</v>
      </c>
    </row>
    <row r="12" spans="1:20" x14ac:dyDescent="0.25">
      <c r="A12" t="s">
        <v>294</v>
      </c>
      <c r="B12" s="1" t="s">
        <v>1</v>
      </c>
      <c r="C12" s="1" t="s">
        <v>371</v>
      </c>
      <c r="D12" s="1" t="s">
        <v>375</v>
      </c>
      <c r="E12" s="1" t="s">
        <v>374</v>
      </c>
      <c r="G12" s="1" t="s">
        <v>378</v>
      </c>
      <c r="H12" s="32">
        <v>3683.3</v>
      </c>
      <c r="I12" s="1" t="s">
        <v>129</v>
      </c>
      <c r="J12" s="36">
        <v>368.33000000000004</v>
      </c>
      <c r="K12" s="1" t="s">
        <v>129</v>
      </c>
      <c r="L12" s="1" t="s">
        <v>129</v>
      </c>
      <c r="M12" s="1" t="s">
        <v>129</v>
      </c>
      <c r="N12" s="1" t="s">
        <v>129</v>
      </c>
      <c r="O12" s="1" t="s">
        <v>129</v>
      </c>
      <c r="P12" s="1" t="s">
        <v>129</v>
      </c>
      <c r="Q12" s="1" t="s">
        <v>129</v>
      </c>
      <c r="R12" s="1" t="s">
        <v>129</v>
      </c>
      <c r="S12" s="1" t="s">
        <v>129</v>
      </c>
      <c r="T12" s="1" t="s">
        <v>367</v>
      </c>
    </row>
    <row r="13" spans="1:20" x14ac:dyDescent="0.25">
      <c r="A13" t="s">
        <v>294</v>
      </c>
      <c r="B13" s="1" t="s">
        <v>1</v>
      </c>
      <c r="C13" s="1" t="s">
        <v>371</v>
      </c>
      <c r="D13" s="1" t="s">
        <v>373</v>
      </c>
      <c r="E13" s="1" t="s">
        <v>372</v>
      </c>
      <c r="G13" s="1" t="s">
        <v>378</v>
      </c>
      <c r="H13" s="32">
        <v>158.88999999999999</v>
      </c>
      <c r="I13" s="1" t="s">
        <v>129</v>
      </c>
      <c r="J13" s="2">
        <v>15.89</v>
      </c>
      <c r="K13" s="1" t="s">
        <v>129</v>
      </c>
      <c r="L13" s="1" t="s">
        <v>129</v>
      </c>
      <c r="M13" s="1" t="s">
        <v>129</v>
      </c>
      <c r="N13" s="1" t="s">
        <v>129</v>
      </c>
      <c r="O13" s="1" t="s">
        <v>129</v>
      </c>
      <c r="P13" s="1" t="s">
        <v>129</v>
      </c>
      <c r="Q13" s="1" t="s">
        <v>129</v>
      </c>
      <c r="R13" s="1" t="s">
        <v>129</v>
      </c>
      <c r="S13" s="1" t="s">
        <v>129</v>
      </c>
      <c r="T13" s="1" t="s">
        <v>367</v>
      </c>
    </row>
    <row r="14" spans="1:20" x14ac:dyDescent="0.25">
      <c r="A14" t="s">
        <v>294</v>
      </c>
      <c r="B14" s="1" t="s">
        <v>1</v>
      </c>
      <c r="C14" s="1" t="s">
        <v>371</v>
      </c>
      <c r="D14" s="1" t="s">
        <v>380</v>
      </c>
      <c r="E14" s="1" t="s">
        <v>379</v>
      </c>
      <c r="G14" s="1" t="s">
        <v>378</v>
      </c>
      <c r="H14" s="32">
        <v>210</v>
      </c>
      <c r="I14" s="1" t="s">
        <v>129</v>
      </c>
      <c r="J14" s="2">
        <v>21</v>
      </c>
      <c r="K14" s="1" t="s">
        <v>129</v>
      </c>
      <c r="L14" s="1" t="s">
        <v>129</v>
      </c>
      <c r="M14" s="1" t="s">
        <v>129</v>
      </c>
      <c r="N14" s="1" t="s">
        <v>129</v>
      </c>
      <c r="O14" s="1" t="s">
        <v>129</v>
      </c>
      <c r="P14" s="1" t="s">
        <v>129</v>
      </c>
      <c r="Q14" s="1" t="s">
        <v>129</v>
      </c>
      <c r="R14" s="1" t="s">
        <v>129</v>
      </c>
      <c r="S14" s="1" t="s">
        <v>129</v>
      </c>
      <c r="T14" s="1" t="s">
        <v>367</v>
      </c>
    </row>
    <row r="15" spans="1:20" x14ac:dyDescent="0.25">
      <c r="A15" t="s">
        <v>294</v>
      </c>
      <c r="B15" s="1" t="s">
        <v>1</v>
      </c>
      <c r="C15" s="1" t="s">
        <v>371</v>
      </c>
      <c r="D15" s="1" t="s">
        <v>370</v>
      </c>
      <c r="E15" s="1" t="s">
        <v>369</v>
      </c>
      <c r="G15" s="1" t="s">
        <v>378</v>
      </c>
      <c r="H15" s="32">
        <v>288.88</v>
      </c>
      <c r="I15" s="1" t="s">
        <v>129</v>
      </c>
      <c r="J15" s="2">
        <v>28.89</v>
      </c>
      <c r="K15" s="1" t="s">
        <v>129</v>
      </c>
      <c r="L15" s="1" t="s">
        <v>129</v>
      </c>
      <c r="M15" s="1" t="s">
        <v>129</v>
      </c>
      <c r="N15" s="1" t="s">
        <v>129</v>
      </c>
      <c r="O15" s="1" t="s">
        <v>129</v>
      </c>
      <c r="P15" s="1" t="s">
        <v>129</v>
      </c>
      <c r="Q15" s="1" t="s">
        <v>129</v>
      </c>
      <c r="R15" s="1" t="s">
        <v>129</v>
      </c>
      <c r="S15" s="1" t="s">
        <v>129</v>
      </c>
      <c r="T15" s="1" t="s">
        <v>367</v>
      </c>
    </row>
    <row r="16" spans="1:20" x14ac:dyDescent="0.25">
      <c r="A16" t="s">
        <v>294</v>
      </c>
      <c r="B16" s="1" t="s">
        <v>1</v>
      </c>
      <c r="C16" s="1" t="s">
        <v>371</v>
      </c>
      <c r="D16" s="1" t="s">
        <v>375</v>
      </c>
      <c r="E16" s="1" t="s">
        <v>374</v>
      </c>
      <c r="G16" s="1" t="s">
        <v>131</v>
      </c>
      <c r="H16" s="32">
        <v>1800</v>
      </c>
      <c r="I16" s="1" t="s">
        <v>129</v>
      </c>
      <c r="J16" s="32">
        <v>208.86</v>
      </c>
      <c r="K16" s="1" t="s">
        <v>129</v>
      </c>
      <c r="L16" s="1" t="s">
        <v>129</v>
      </c>
      <c r="M16" s="1" t="s">
        <v>377</v>
      </c>
      <c r="N16" s="1" t="s">
        <v>376</v>
      </c>
      <c r="O16" s="1" t="s">
        <v>129</v>
      </c>
      <c r="P16" s="1" t="s">
        <v>129</v>
      </c>
      <c r="Q16" s="1" t="s">
        <v>129</v>
      </c>
      <c r="R16" s="1" t="s">
        <v>129</v>
      </c>
      <c r="S16" s="1" t="s">
        <v>129</v>
      </c>
      <c r="T16" s="1" t="s">
        <v>367</v>
      </c>
    </row>
    <row r="17" spans="1:20" x14ac:dyDescent="0.25">
      <c r="A17" t="s">
        <v>294</v>
      </c>
      <c r="B17" s="1" t="s">
        <v>1</v>
      </c>
      <c r="C17" s="1" t="s">
        <v>371</v>
      </c>
      <c r="D17" s="1" t="s">
        <v>375</v>
      </c>
      <c r="E17" s="1" t="s">
        <v>374</v>
      </c>
      <c r="G17" s="1" t="s">
        <v>368</v>
      </c>
      <c r="H17" s="32">
        <v>368.42</v>
      </c>
      <c r="I17" s="1" t="s">
        <v>129</v>
      </c>
      <c r="J17" s="2">
        <v>18.420000000000002</v>
      </c>
      <c r="K17" s="1" t="s">
        <v>129</v>
      </c>
      <c r="L17" s="1" t="s">
        <v>129</v>
      </c>
      <c r="M17" s="1" t="s">
        <v>129</v>
      </c>
      <c r="N17" s="1" t="s">
        <v>129</v>
      </c>
      <c r="O17" s="1" t="s">
        <v>129</v>
      </c>
      <c r="P17" s="1" t="s">
        <v>129</v>
      </c>
      <c r="Q17" s="1" t="s">
        <v>129</v>
      </c>
      <c r="R17" s="1" t="s">
        <v>129</v>
      </c>
      <c r="S17" s="1" t="s">
        <v>129</v>
      </c>
      <c r="T17" s="1" t="s">
        <v>367</v>
      </c>
    </row>
    <row r="18" spans="1:20" x14ac:dyDescent="0.25">
      <c r="A18" t="s">
        <v>294</v>
      </c>
      <c r="B18" s="1" t="s">
        <v>1</v>
      </c>
      <c r="C18" s="1" t="s">
        <v>371</v>
      </c>
      <c r="D18" s="1" t="s">
        <v>373</v>
      </c>
      <c r="E18" s="1" t="s">
        <v>372</v>
      </c>
      <c r="G18" s="1" t="s">
        <v>368</v>
      </c>
      <c r="H18" s="32">
        <v>368.42</v>
      </c>
      <c r="I18" s="1" t="s">
        <v>129</v>
      </c>
      <c r="J18" s="2">
        <v>18.420000000000002</v>
      </c>
      <c r="K18" s="1" t="s">
        <v>129</v>
      </c>
      <c r="L18" s="1" t="s">
        <v>129</v>
      </c>
      <c r="M18" s="1" t="s">
        <v>129</v>
      </c>
      <c r="N18" s="1" t="s">
        <v>129</v>
      </c>
      <c r="O18" s="1" t="s">
        <v>129</v>
      </c>
      <c r="P18" s="1" t="s">
        <v>129</v>
      </c>
      <c r="Q18" s="1" t="s">
        <v>129</v>
      </c>
      <c r="R18" s="1" t="s">
        <v>129</v>
      </c>
      <c r="S18" s="1" t="s">
        <v>129</v>
      </c>
      <c r="T18" s="1" t="s">
        <v>367</v>
      </c>
    </row>
    <row r="19" spans="1:20" x14ac:dyDescent="0.25">
      <c r="A19" t="s">
        <v>294</v>
      </c>
      <c r="B19" s="1" t="s">
        <v>1</v>
      </c>
      <c r="C19" s="1" t="s">
        <v>371</v>
      </c>
      <c r="D19" s="1" t="s">
        <v>370</v>
      </c>
      <c r="E19" s="1" t="s">
        <v>369</v>
      </c>
      <c r="G19" s="1" t="s">
        <v>368</v>
      </c>
      <c r="H19" s="32">
        <v>368.42</v>
      </c>
      <c r="I19" s="1" t="s">
        <v>129</v>
      </c>
      <c r="J19" s="2">
        <v>18.420000000000002</v>
      </c>
      <c r="K19" s="1" t="s">
        <v>129</v>
      </c>
      <c r="L19" s="1" t="s">
        <v>129</v>
      </c>
      <c r="M19" s="1" t="s">
        <v>129</v>
      </c>
      <c r="N19" s="1" t="s">
        <v>129</v>
      </c>
      <c r="O19" s="1" t="s">
        <v>129</v>
      </c>
      <c r="P19" s="1" t="s">
        <v>129</v>
      </c>
      <c r="Q19" s="1" t="s">
        <v>129</v>
      </c>
      <c r="R19" s="1" t="s">
        <v>129</v>
      </c>
      <c r="S19" s="1" t="s">
        <v>129</v>
      </c>
      <c r="T19" s="1" t="s">
        <v>367</v>
      </c>
    </row>
    <row r="20" spans="1:20" x14ac:dyDescent="0.25">
      <c r="A20" t="s">
        <v>87</v>
      </c>
      <c r="B20" s="1" t="s">
        <v>1</v>
      </c>
      <c r="C20" s="1" t="s">
        <v>371</v>
      </c>
      <c r="D20" s="1" t="s">
        <v>375</v>
      </c>
      <c r="E20" s="1" t="s">
        <v>374</v>
      </c>
      <c r="G20" s="1" t="s">
        <v>378</v>
      </c>
      <c r="H20" s="32">
        <v>1072.21</v>
      </c>
      <c r="I20" s="1" t="s">
        <v>129</v>
      </c>
      <c r="J20" s="36">
        <v>107.22</v>
      </c>
      <c r="K20" s="1" t="s">
        <v>129</v>
      </c>
      <c r="L20" s="1" t="s">
        <v>129</v>
      </c>
      <c r="M20" s="1" t="s">
        <v>129</v>
      </c>
      <c r="N20" s="1" t="s">
        <v>129</v>
      </c>
      <c r="O20" s="1" t="s">
        <v>129</v>
      </c>
      <c r="P20" s="1" t="s">
        <v>129</v>
      </c>
      <c r="Q20" s="1" t="s">
        <v>129</v>
      </c>
      <c r="R20" s="1" t="s">
        <v>129</v>
      </c>
      <c r="S20" s="1" t="s">
        <v>129</v>
      </c>
      <c r="T20" s="1" t="s">
        <v>515</v>
      </c>
    </row>
    <row r="21" spans="1:20" x14ac:dyDescent="0.25">
      <c r="A21" t="s">
        <v>87</v>
      </c>
      <c r="B21" s="1" t="s">
        <v>1</v>
      </c>
      <c r="C21" s="1" t="s">
        <v>371</v>
      </c>
      <c r="D21" s="1" t="s">
        <v>373</v>
      </c>
      <c r="E21" s="1" t="s">
        <v>372</v>
      </c>
      <c r="G21" s="1" t="s">
        <v>378</v>
      </c>
      <c r="H21" s="32">
        <v>158.88999999999999</v>
      </c>
      <c r="I21" s="1" t="s">
        <v>129</v>
      </c>
      <c r="J21" s="2">
        <v>15.89</v>
      </c>
      <c r="K21" s="1" t="s">
        <v>129</v>
      </c>
      <c r="L21" s="1" t="s">
        <v>129</v>
      </c>
      <c r="M21" s="1" t="s">
        <v>129</v>
      </c>
      <c r="N21" s="1" t="s">
        <v>129</v>
      </c>
      <c r="O21" s="1" t="s">
        <v>129</v>
      </c>
      <c r="P21" s="1" t="s">
        <v>129</v>
      </c>
      <c r="Q21" s="1" t="s">
        <v>129</v>
      </c>
      <c r="R21" s="1" t="s">
        <v>129</v>
      </c>
      <c r="S21" s="1" t="s">
        <v>129</v>
      </c>
      <c r="T21" s="1" t="s">
        <v>515</v>
      </c>
    </row>
    <row r="22" spans="1:20" x14ac:dyDescent="0.25">
      <c r="A22" t="s">
        <v>87</v>
      </c>
      <c r="B22" s="1" t="s">
        <v>1</v>
      </c>
      <c r="C22" s="1" t="s">
        <v>371</v>
      </c>
      <c r="D22" s="1" t="s">
        <v>380</v>
      </c>
      <c r="E22" s="1" t="s">
        <v>379</v>
      </c>
      <c r="G22" s="1" t="s">
        <v>378</v>
      </c>
      <c r="H22" s="32">
        <v>210</v>
      </c>
      <c r="I22" s="1" t="s">
        <v>129</v>
      </c>
      <c r="J22" s="2">
        <v>21</v>
      </c>
      <c r="K22" s="1" t="s">
        <v>129</v>
      </c>
      <c r="L22" s="1" t="s">
        <v>129</v>
      </c>
      <c r="M22" s="1" t="s">
        <v>129</v>
      </c>
      <c r="N22" s="1" t="s">
        <v>129</v>
      </c>
      <c r="O22" s="1" t="s">
        <v>129</v>
      </c>
      <c r="P22" s="1" t="s">
        <v>129</v>
      </c>
      <c r="Q22" s="1" t="s">
        <v>129</v>
      </c>
      <c r="R22" s="1" t="s">
        <v>129</v>
      </c>
      <c r="S22" s="1" t="s">
        <v>129</v>
      </c>
      <c r="T22" s="1" t="s">
        <v>515</v>
      </c>
    </row>
    <row r="23" spans="1:20" x14ac:dyDescent="0.25">
      <c r="A23" t="s">
        <v>87</v>
      </c>
      <c r="B23" s="1" t="s">
        <v>1</v>
      </c>
      <c r="C23" s="1" t="s">
        <v>371</v>
      </c>
      <c r="D23" s="1" t="s">
        <v>370</v>
      </c>
      <c r="E23" s="1" t="s">
        <v>369</v>
      </c>
      <c r="G23" s="1" t="s">
        <v>378</v>
      </c>
      <c r="H23" s="32">
        <v>288.88</v>
      </c>
      <c r="I23" s="1" t="s">
        <v>129</v>
      </c>
      <c r="J23" s="2">
        <v>28.89</v>
      </c>
      <c r="K23" s="1" t="s">
        <v>129</v>
      </c>
      <c r="L23" s="1" t="s">
        <v>129</v>
      </c>
      <c r="M23" s="1" t="s">
        <v>129</v>
      </c>
      <c r="N23" s="1" t="s">
        <v>129</v>
      </c>
      <c r="O23" s="1" t="s">
        <v>129</v>
      </c>
      <c r="P23" s="1" t="s">
        <v>129</v>
      </c>
      <c r="Q23" s="1" t="s">
        <v>129</v>
      </c>
      <c r="R23" s="1" t="s">
        <v>129</v>
      </c>
      <c r="S23" s="1" t="s">
        <v>129</v>
      </c>
      <c r="T23" s="1" t="s">
        <v>515</v>
      </c>
    </row>
    <row r="24" spans="1:20" x14ac:dyDescent="0.25">
      <c r="A24" t="s">
        <v>87</v>
      </c>
      <c r="B24" s="1" t="s">
        <v>1</v>
      </c>
      <c r="C24" s="1" t="s">
        <v>371</v>
      </c>
      <c r="D24" s="1" t="s">
        <v>375</v>
      </c>
      <c r="E24" s="1" t="s">
        <v>374</v>
      </c>
      <c r="G24" s="1" t="s">
        <v>131</v>
      </c>
      <c r="H24" s="32">
        <v>1800</v>
      </c>
      <c r="I24" s="1" t="s">
        <v>129</v>
      </c>
      <c r="J24" s="32">
        <v>208.86</v>
      </c>
      <c r="K24" s="1" t="s">
        <v>129</v>
      </c>
      <c r="L24" s="1" t="s">
        <v>129</v>
      </c>
      <c r="M24" s="1" t="s">
        <v>377</v>
      </c>
      <c r="N24" s="1" t="s">
        <v>376</v>
      </c>
      <c r="O24" s="1" t="s">
        <v>129</v>
      </c>
      <c r="P24" s="1" t="s">
        <v>129</v>
      </c>
      <c r="Q24" s="1" t="s">
        <v>129</v>
      </c>
      <c r="R24" s="1" t="s">
        <v>129</v>
      </c>
      <c r="S24" s="1" t="s">
        <v>129</v>
      </c>
      <c r="T24" s="1" t="s">
        <v>515</v>
      </c>
    </row>
    <row r="25" spans="1:20" x14ac:dyDescent="0.25">
      <c r="A25" t="s">
        <v>516</v>
      </c>
      <c r="B25" s="1" t="s">
        <v>1</v>
      </c>
      <c r="C25" s="1" t="s">
        <v>371</v>
      </c>
      <c r="D25" s="1" t="s">
        <v>375</v>
      </c>
      <c r="E25" s="1" t="s">
        <v>374</v>
      </c>
      <c r="G25" s="1" t="s">
        <v>378</v>
      </c>
      <c r="H25" s="32">
        <v>1155.55</v>
      </c>
      <c r="I25" s="1" t="s">
        <v>129</v>
      </c>
      <c r="J25" s="36">
        <v>115.55</v>
      </c>
      <c r="K25" s="1" t="s">
        <v>129</v>
      </c>
      <c r="L25" s="1" t="s">
        <v>129</v>
      </c>
      <c r="M25" s="1" t="s">
        <v>129</v>
      </c>
      <c r="N25" s="1" t="s">
        <v>129</v>
      </c>
      <c r="O25" s="1" t="s">
        <v>129</v>
      </c>
      <c r="P25" s="1" t="s">
        <v>129</v>
      </c>
      <c r="Q25" s="1" t="s">
        <v>129</v>
      </c>
      <c r="R25" s="1" t="s">
        <v>129</v>
      </c>
      <c r="S25" s="1" t="s">
        <v>129</v>
      </c>
      <c r="T25" s="1" t="s">
        <v>582</v>
      </c>
    </row>
    <row r="26" spans="1:20" x14ac:dyDescent="0.25">
      <c r="A26" t="s">
        <v>516</v>
      </c>
      <c r="B26" s="1" t="s">
        <v>1</v>
      </c>
      <c r="C26" s="1" t="s">
        <v>371</v>
      </c>
      <c r="D26" s="1" t="s">
        <v>373</v>
      </c>
      <c r="E26" s="1" t="s">
        <v>372</v>
      </c>
      <c r="G26" s="1" t="s">
        <v>378</v>
      </c>
      <c r="H26" s="32">
        <v>158.88999999999999</v>
      </c>
      <c r="I26" s="1" t="s">
        <v>129</v>
      </c>
      <c r="J26" s="2">
        <v>15.89</v>
      </c>
      <c r="K26" s="1" t="s">
        <v>129</v>
      </c>
      <c r="L26" s="1" t="s">
        <v>129</v>
      </c>
      <c r="M26" s="1" t="s">
        <v>129</v>
      </c>
      <c r="N26" s="1" t="s">
        <v>129</v>
      </c>
      <c r="O26" s="1" t="s">
        <v>129</v>
      </c>
      <c r="P26" s="1" t="s">
        <v>129</v>
      </c>
      <c r="Q26" s="1" t="s">
        <v>129</v>
      </c>
      <c r="R26" s="1" t="s">
        <v>129</v>
      </c>
      <c r="S26" s="1" t="s">
        <v>129</v>
      </c>
      <c r="T26" s="1" t="s">
        <v>582</v>
      </c>
    </row>
    <row r="27" spans="1:20" x14ac:dyDescent="0.25">
      <c r="A27" t="s">
        <v>516</v>
      </c>
      <c r="B27" s="1" t="s">
        <v>1</v>
      </c>
      <c r="C27" s="1" t="s">
        <v>371</v>
      </c>
      <c r="D27" s="1" t="s">
        <v>380</v>
      </c>
      <c r="E27" s="1" t="s">
        <v>379</v>
      </c>
      <c r="G27" s="1" t="s">
        <v>378</v>
      </c>
      <c r="H27" s="32">
        <v>210</v>
      </c>
      <c r="I27" s="1" t="s">
        <v>129</v>
      </c>
      <c r="J27" s="2">
        <v>21</v>
      </c>
      <c r="K27" s="1" t="s">
        <v>129</v>
      </c>
      <c r="L27" s="1" t="s">
        <v>129</v>
      </c>
      <c r="M27" s="1" t="s">
        <v>129</v>
      </c>
      <c r="N27" s="1" t="s">
        <v>129</v>
      </c>
      <c r="O27" s="1" t="s">
        <v>129</v>
      </c>
      <c r="P27" s="1" t="s">
        <v>129</v>
      </c>
      <c r="Q27" s="1" t="s">
        <v>129</v>
      </c>
      <c r="R27" s="1" t="s">
        <v>129</v>
      </c>
      <c r="S27" s="1" t="s">
        <v>129</v>
      </c>
      <c r="T27" s="1" t="s">
        <v>582</v>
      </c>
    </row>
    <row r="28" spans="1:20" x14ac:dyDescent="0.25">
      <c r="A28" t="s">
        <v>516</v>
      </c>
      <c r="B28" s="1" t="s">
        <v>1</v>
      </c>
      <c r="C28" s="1" t="s">
        <v>371</v>
      </c>
      <c r="D28" s="1" t="s">
        <v>370</v>
      </c>
      <c r="E28" s="1" t="s">
        <v>369</v>
      </c>
      <c r="G28" s="1" t="s">
        <v>378</v>
      </c>
      <c r="H28" s="32">
        <v>288.88</v>
      </c>
      <c r="I28" s="1" t="s">
        <v>129</v>
      </c>
      <c r="J28" s="2">
        <v>28.89</v>
      </c>
      <c r="K28" s="1" t="s">
        <v>129</v>
      </c>
      <c r="L28" s="1" t="s">
        <v>129</v>
      </c>
      <c r="M28" s="1" t="s">
        <v>129</v>
      </c>
      <c r="N28" s="1" t="s">
        <v>129</v>
      </c>
      <c r="O28" s="1" t="s">
        <v>129</v>
      </c>
      <c r="P28" s="1" t="s">
        <v>129</v>
      </c>
      <c r="Q28" s="1" t="s">
        <v>129</v>
      </c>
      <c r="R28" s="1" t="s">
        <v>129</v>
      </c>
      <c r="S28" s="1" t="s">
        <v>129</v>
      </c>
      <c r="T28" s="1" t="s">
        <v>582</v>
      </c>
    </row>
    <row r="29" spans="1:20" x14ac:dyDescent="0.25">
      <c r="A29" t="s">
        <v>516</v>
      </c>
      <c r="B29" s="1" t="s">
        <v>1</v>
      </c>
      <c r="C29" s="1" t="s">
        <v>371</v>
      </c>
      <c r="D29" s="1" t="s">
        <v>375</v>
      </c>
      <c r="E29" s="1" t="s">
        <v>374</v>
      </c>
      <c r="G29" s="1" t="s">
        <v>131</v>
      </c>
      <c r="H29" s="32">
        <v>1800</v>
      </c>
      <c r="I29" s="1" t="s">
        <v>129</v>
      </c>
      <c r="J29" s="32">
        <v>208.86</v>
      </c>
      <c r="K29" s="1" t="s">
        <v>129</v>
      </c>
      <c r="L29" s="1" t="s">
        <v>129</v>
      </c>
      <c r="M29" s="1" t="s">
        <v>377</v>
      </c>
      <c r="N29" s="1" t="s">
        <v>376</v>
      </c>
      <c r="O29" s="1" t="s">
        <v>129</v>
      </c>
      <c r="P29" s="1" t="s">
        <v>129</v>
      </c>
      <c r="Q29" s="1" t="s">
        <v>129</v>
      </c>
      <c r="R29" s="1" t="s">
        <v>129</v>
      </c>
      <c r="S29" s="1" t="s">
        <v>129</v>
      </c>
      <c r="T29" s="1" t="s">
        <v>582</v>
      </c>
    </row>
    <row r="30" spans="1:20" x14ac:dyDescent="0.25">
      <c r="A30" t="s">
        <v>567</v>
      </c>
      <c r="B30" s="1" t="s">
        <v>1</v>
      </c>
      <c r="C30" s="1" t="s">
        <v>371</v>
      </c>
      <c r="D30" s="1" t="s">
        <v>375</v>
      </c>
      <c r="E30" s="1" t="s">
        <v>374</v>
      </c>
      <c r="G30" s="1" t="s">
        <v>378</v>
      </c>
      <c r="H30" s="32">
        <v>3105.55</v>
      </c>
      <c r="I30" s="1" t="s">
        <v>129</v>
      </c>
      <c r="J30" s="36">
        <v>310.56</v>
      </c>
      <c r="K30" s="1" t="s">
        <v>129</v>
      </c>
      <c r="L30" s="1" t="s">
        <v>129</v>
      </c>
      <c r="M30" s="1" t="s">
        <v>129</v>
      </c>
      <c r="N30" s="1" t="s">
        <v>129</v>
      </c>
      <c r="O30" s="1" t="s">
        <v>129</v>
      </c>
      <c r="P30" s="1" t="s">
        <v>129</v>
      </c>
      <c r="Q30" s="1" t="s">
        <v>129</v>
      </c>
      <c r="R30" s="1" t="s">
        <v>129</v>
      </c>
      <c r="S30" s="1" t="s">
        <v>129</v>
      </c>
      <c r="T30" s="1" t="s">
        <v>693</v>
      </c>
    </row>
    <row r="31" spans="1:20" x14ac:dyDescent="0.25">
      <c r="A31" t="s">
        <v>567</v>
      </c>
      <c r="B31" s="1" t="s">
        <v>1</v>
      </c>
      <c r="C31" s="1" t="s">
        <v>371</v>
      </c>
      <c r="D31" s="1" t="s">
        <v>373</v>
      </c>
      <c r="E31" s="1" t="s">
        <v>372</v>
      </c>
      <c r="G31" s="1" t="s">
        <v>378</v>
      </c>
      <c r="H31" s="32">
        <v>158.88999999999999</v>
      </c>
      <c r="I31" s="1" t="s">
        <v>129</v>
      </c>
      <c r="J31" s="2">
        <v>15.89</v>
      </c>
      <c r="K31" s="1" t="s">
        <v>129</v>
      </c>
      <c r="L31" s="1" t="s">
        <v>129</v>
      </c>
      <c r="M31" s="1" t="s">
        <v>129</v>
      </c>
      <c r="N31" s="1" t="s">
        <v>129</v>
      </c>
      <c r="O31" s="1" t="s">
        <v>129</v>
      </c>
      <c r="P31" s="1" t="s">
        <v>129</v>
      </c>
      <c r="Q31" s="1" t="s">
        <v>129</v>
      </c>
      <c r="R31" s="1" t="s">
        <v>129</v>
      </c>
      <c r="S31" s="1" t="s">
        <v>129</v>
      </c>
      <c r="T31" s="1" t="s">
        <v>693</v>
      </c>
    </row>
    <row r="32" spans="1:20" x14ac:dyDescent="0.25">
      <c r="A32" t="s">
        <v>567</v>
      </c>
      <c r="B32" s="1" t="s">
        <v>1</v>
      </c>
      <c r="C32" s="1" t="s">
        <v>371</v>
      </c>
      <c r="D32" s="1" t="s">
        <v>380</v>
      </c>
      <c r="E32" s="1" t="s">
        <v>379</v>
      </c>
      <c r="G32" s="1" t="s">
        <v>378</v>
      </c>
      <c r="H32" s="32">
        <v>610</v>
      </c>
      <c r="I32" s="1" t="s">
        <v>129</v>
      </c>
      <c r="J32" s="2">
        <v>61</v>
      </c>
      <c r="K32" s="1" t="s">
        <v>129</v>
      </c>
      <c r="L32" s="1" t="s">
        <v>129</v>
      </c>
      <c r="M32" s="1" t="s">
        <v>129</v>
      </c>
      <c r="N32" s="1" t="s">
        <v>129</v>
      </c>
      <c r="O32" s="1" t="s">
        <v>129</v>
      </c>
      <c r="P32" s="1" t="s">
        <v>129</v>
      </c>
      <c r="Q32" s="1" t="s">
        <v>129</v>
      </c>
      <c r="R32" s="1" t="s">
        <v>129</v>
      </c>
      <c r="S32" s="1" t="s">
        <v>129</v>
      </c>
      <c r="T32" s="1" t="s">
        <v>693</v>
      </c>
    </row>
    <row r="33" spans="1:20" x14ac:dyDescent="0.25">
      <c r="A33" t="s">
        <v>567</v>
      </c>
      <c r="B33" s="1" t="s">
        <v>1</v>
      </c>
      <c r="C33" s="1" t="s">
        <v>371</v>
      </c>
      <c r="D33" s="1" t="s">
        <v>370</v>
      </c>
      <c r="E33" s="1" t="s">
        <v>369</v>
      </c>
      <c r="G33" s="1" t="s">
        <v>378</v>
      </c>
      <c r="H33" s="32">
        <v>288.88</v>
      </c>
      <c r="I33" s="1" t="s">
        <v>129</v>
      </c>
      <c r="J33" s="2">
        <v>28.89</v>
      </c>
      <c r="K33" s="1" t="s">
        <v>129</v>
      </c>
      <c r="L33" s="1" t="s">
        <v>129</v>
      </c>
      <c r="M33" s="1" t="s">
        <v>129</v>
      </c>
      <c r="N33" s="1" t="s">
        <v>129</v>
      </c>
      <c r="O33" s="1" t="s">
        <v>129</v>
      </c>
      <c r="P33" s="1" t="s">
        <v>129</v>
      </c>
      <c r="Q33" s="1" t="s">
        <v>129</v>
      </c>
      <c r="R33" s="1" t="s">
        <v>129</v>
      </c>
      <c r="S33" s="1" t="s">
        <v>129</v>
      </c>
      <c r="T33" s="1" t="s">
        <v>693</v>
      </c>
    </row>
    <row r="34" spans="1:20" x14ac:dyDescent="0.25">
      <c r="A34" t="s">
        <v>567</v>
      </c>
      <c r="B34" s="1" t="s">
        <v>1</v>
      </c>
      <c r="C34" s="1" t="s">
        <v>371</v>
      </c>
      <c r="D34" s="1" t="s">
        <v>375</v>
      </c>
      <c r="E34" s="1" t="s">
        <v>374</v>
      </c>
      <c r="G34" s="1" t="s">
        <v>131</v>
      </c>
      <c r="H34" s="32">
        <v>1800</v>
      </c>
      <c r="I34" s="1" t="s">
        <v>129</v>
      </c>
      <c r="J34" s="32">
        <v>208.86</v>
      </c>
      <c r="K34" s="1" t="s">
        <v>129</v>
      </c>
      <c r="L34" s="1" t="s">
        <v>129</v>
      </c>
      <c r="M34" s="1" t="s">
        <v>377</v>
      </c>
      <c r="N34" s="1" t="s">
        <v>376</v>
      </c>
      <c r="O34" s="1" t="s">
        <v>129</v>
      </c>
      <c r="P34" s="1" t="s">
        <v>129</v>
      </c>
      <c r="Q34" s="1" t="s">
        <v>129</v>
      </c>
      <c r="R34" s="1" t="s">
        <v>129</v>
      </c>
      <c r="S34" s="1" t="s">
        <v>129</v>
      </c>
      <c r="T34" s="1" t="s">
        <v>693</v>
      </c>
    </row>
    <row r="2997" spans="1:10" x14ac:dyDescent="0.25">
      <c r="A2997" s="35"/>
      <c r="B2997" s="33"/>
      <c r="C2997" s="33"/>
      <c r="D2997" s="33"/>
      <c r="E2997" s="33"/>
      <c r="F2997" s="33"/>
      <c r="G2997" s="33"/>
      <c r="H2997" s="34">
        <f>SUBTOTAL(9,H1:H2996)</f>
        <v>26624.03</v>
      </c>
      <c r="I2997" s="33"/>
      <c r="J2997" s="34">
        <f>SUBTOTAL(9,J1:J2996)</f>
        <v>2715.7670000000003</v>
      </c>
    </row>
  </sheetData>
  <autoFilter ref="A1:T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7030A0"/>
  </sheetPr>
  <dimension ref="A1:M20"/>
  <sheetViews>
    <sheetView workbookViewId="0">
      <selection activeCell="H15" sqref="H15"/>
    </sheetView>
  </sheetViews>
  <sheetFormatPr baseColWidth="10" defaultRowHeight="15" x14ac:dyDescent="0.25"/>
  <cols>
    <col min="1" max="1" width="11.85546875" bestFit="1" customWidth="1"/>
  </cols>
  <sheetData>
    <row r="1" spans="1:13" ht="15.75" thickBot="1" x14ac:dyDescent="0.3"/>
    <row r="2" spans="1:13" x14ac:dyDescent="0.25">
      <c r="A2" s="77" t="s">
        <v>416</v>
      </c>
      <c r="B2" s="78"/>
      <c r="C2" s="78"/>
      <c r="D2" s="79"/>
      <c r="E2" s="86"/>
      <c r="F2" s="87"/>
      <c r="G2" s="92" t="s">
        <v>415</v>
      </c>
      <c r="H2" s="92" t="s">
        <v>414</v>
      </c>
      <c r="I2" s="92" t="s">
        <v>413</v>
      </c>
      <c r="J2" s="92" t="s">
        <v>412</v>
      </c>
      <c r="K2" s="92" t="s">
        <v>288</v>
      </c>
      <c r="L2" s="88" t="s">
        <v>411</v>
      </c>
      <c r="M2" s="89"/>
    </row>
    <row r="3" spans="1:13" ht="15.75" thickBot="1" x14ac:dyDescent="0.3">
      <c r="A3" s="80"/>
      <c r="B3" s="81"/>
      <c r="C3" s="81"/>
      <c r="D3" s="82"/>
      <c r="E3" s="45"/>
      <c r="F3" s="45"/>
      <c r="G3" s="93"/>
      <c r="H3" s="93"/>
      <c r="I3" s="93"/>
      <c r="J3" s="93"/>
      <c r="K3" s="93"/>
      <c r="L3" s="90"/>
      <c r="M3" s="91"/>
    </row>
    <row r="4" spans="1:13" x14ac:dyDescent="0.25">
      <c r="A4" s="80"/>
      <c r="B4" s="81"/>
      <c r="C4" s="81"/>
      <c r="D4" s="82"/>
      <c r="E4" s="45"/>
      <c r="F4" s="45"/>
      <c r="G4" s="57">
        <f>+Tabla3[[#Totals],[V EXENTA]]</f>
        <v>3850</v>
      </c>
      <c r="H4" s="57">
        <f>+Tabla2[[#Totals],[V. GRAVADA]]</f>
        <v>142562.56000000003</v>
      </c>
      <c r="I4" s="57">
        <f>+Tabla3[[#Totals],[V GRAVADAS]]</f>
        <v>8474.6099999999988</v>
      </c>
      <c r="J4" s="57">
        <f>+Tabla3[[#Totals],[EX SERVICE]]</f>
        <v>7399.7699999999986</v>
      </c>
      <c r="K4" s="52"/>
      <c r="L4" s="64"/>
      <c r="M4" s="41"/>
    </row>
    <row r="5" spans="1:13" x14ac:dyDescent="0.25">
      <c r="A5" s="80"/>
      <c r="B5" s="81"/>
      <c r="C5" s="81"/>
      <c r="D5" s="82"/>
      <c r="E5" s="45"/>
      <c r="F5" s="45"/>
      <c r="G5" s="57"/>
      <c r="H5" s="57"/>
      <c r="I5" s="63">
        <f>+I4/1.13</f>
        <v>7499.6548672566369</v>
      </c>
      <c r="J5" s="57"/>
      <c r="K5" s="52"/>
      <c r="L5" s="64"/>
      <c r="M5" s="41"/>
    </row>
    <row r="6" spans="1:13" x14ac:dyDescent="0.25">
      <c r="A6" s="80"/>
      <c r="B6" s="81"/>
      <c r="C6" s="81"/>
      <c r="D6" s="82"/>
      <c r="E6" s="45"/>
      <c r="F6" s="45"/>
      <c r="G6" s="57"/>
      <c r="H6" s="57"/>
      <c r="I6" s="57"/>
      <c r="J6" s="57"/>
      <c r="K6" s="52"/>
      <c r="L6" s="64"/>
      <c r="M6" s="41"/>
    </row>
    <row r="7" spans="1:13" ht="15.75" thickBot="1" x14ac:dyDescent="0.3">
      <c r="A7" s="80"/>
      <c r="B7" s="81"/>
      <c r="C7" s="81"/>
      <c r="D7" s="82"/>
      <c r="E7" s="45"/>
      <c r="F7" s="45"/>
      <c r="G7" s="57"/>
      <c r="H7" s="57"/>
      <c r="I7" s="57"/>
      <c r="J7" s="57"/>
      <c r="K7" s="52"/>
      <c r="L7" s="64"/>
      <c r="M7" s="41"/>
    </row>
    <row r="8" spans="1:13" ht="15.75" thickBot="1" x14ac:dyDescent="0.3">
      <c r="A8" s="80"/>
      <c r="B8" s="81"/>
      <c r="C8" s="81"/>
      <c r="D8" s="82"/>
      <c r="E8" s="45"/>
      <c r="F8" s="45"/>
      <c r="G8" s="57"/>
      <c r="H8" s="57"/>
      <c r="I8" s="63">
        <f>+I7/1.13</f>
        <v>0</v>
      </c>
      <c r="J8" s="57"/>
      <c r="K8" s="52"/>
      <c r="L8" s="62" t="s">
        <v>410</v>
      </c>
      <c r="M8" s="41"/>
    </row>
    <row r="9" spans="1:13" ht="15.75" thickBot="1" x14ac:dyDescent="0.3">
      <c r="A9" s="80"/>
      <c r="B9" s="81"/>
      <c r="C9" s="81"/>
      <c r="D9" s="82"/>
      <c r="E9" s="45"/>
      <c r="F9" s="45"/>
      <c r="G9" s="5">
        <f>SUM(G4:G8)</f>
        <v>3850</v>
      </c>
      <c r="H9" s="5">
        <f>+H4+H7</f>
        <v>142562.56000000003</v>
      </c>
      <c r="I9" s="5">
        <f>+I8+I5</f>
        <v>7499.6548672566369</v>
      </c>
      <c r="J9" s="5">
        <f>+J4</f>
        <v>7399.7699999999986</v>
      </c>
      <c r="K9" s="5">
        <f>SUM(G9:J9)</f>
        <v>161311.98486725666</v>
      </c>
      <c r="L9" s="61">
        <f>+K9*0.0175</f>
        <v>2822.9597351769917</v>
      </c>
      <c r="M9" s="41"/>
    </row>
    <row r="10" spans="1:13" x14ac:dyDescent="0.25">
      <c r="A10" s="80"/>
      <c r="B10" s="81"/>
      <c r="C10" s="81"/>
      <c r="D10" s="82"/>
      <c r="E10" s="45"/>
      <c r="F10" s="45"/>
      <c r="G10" s="43"/>
      <c r="H10" s="43"/>
      <c r="I10" s="43"/>
      <c r="J10" s="43"/>
      <c r="K10" s="43"/>
      <c r="L10" s="96">
        <v>406.3</v>
      </c>
      <c r="M10" s="94">
        <f>+L9+L10</f>
        <v>3229.2597351769919</v>
      </c>
    </row>
    <row r="11" spans="1:13" ht="15.75" thickBot="1" x14ac:dyDescent="0.3">
      <c r="A11" s="80"/>
      <c r="B11" s="81"/>
      <c r="C11" s="81"/>
      <c r="D11" s="82"/>
      <c r="E11" s="45"/>
      <c r="F11" s="45"/>
      <c r="G11" s="43"/>
      <c r="H11" s="43"/>
      <c r="I11" s="43"/>
      <c r="J11" s="43"/>
      <c r="K11" s="43" t="s">
        <v>409</v>
      </c>
      <c r="L11" s="97"/>
      <c r="M11" s="95"/>
    </row>
    <row r="12" spans="1:13" ht="15.75" thickBot="1" x14ac:dyDescent="0.3">
      <c r="A12" s="80"/>
      <c r="B12" s="81"/>
      <c r="C12" s="81"/>
      <c r="D12" s="82"/>
      <c r="E12" s="45"/>
      <c r="F12" s="45"/>
      <c r="G12" s="43"/>
      <c r="H12" s="43"/>
      <c r="I12" s="43"/>
      <c r="J12" s="43"/>
      <c r="K12" s="43"/>
      <c r="L12" s="42"/>
      <c r="M12" s="41"/>
    </row>
    <row r="13" spans="1:13" ht="15.75" thickBot="1" x14ac:dyDescent="0.3">
      <c r="A13" s="80"/>
      <c r="B13" s="81"/>
      <c r="C13" s="81"/>
      <c r="D13" s="82"/>
      <c r="E13" s="60"/>
      <c r="F13" s="59" t="s">
        <v>408</v>
      </c>
      <c r="G13" s="5" t="s">
        <v>407</v>
      </c>
      <c r="H13" s="58"/>
      <c r="I13" s="4" t="s">
        <v>406</v>
      </c>
      <c r="J13" s="43"/>
      <c r="K13" s="43">
        <f>+K9+G9</f>
        <v>165161.98486725666</v>
      </c>
      <c r="L13" s="42"/>
      <c r="M13" s="41"/>
    </row>
    <row r="14" spans="1:13" x14ac:dyDescent="0.25">
      <c r="A14" s="80"/>
      <c r="B14" s="81"/>
      <c r="C14" s="81"/>
      <c r="D14" s="82"/>
      <c r="E14" s="45" t="s">
        <v>405</v>
      </c>
      <c r="F14" s="57">
        <f>+Tabla1[[#Totals],[C. GRAVADA]]</f>
        <v>66483.070000000138</v>
      </c>
      <c r="G14" s="57">
        <f>+Tabla1[[#Totals],[C. EXENTAS]]</f>
        <v>2416.599999999999</v>
      </c>
      <c r="H14" s="52" t="s">
        <v>405</v>
      </c>
      <c r="I14" s="56">
        <f>+H9+I9</f>
        <v>150062.21486725667</v>
      </c>
      <c r="J14" s="43"/>
      <c r="K14" s="43">
        <f>+K13/K9</f>
        <v>1.0238667945420681</v>
      </c>
      <c r="L14" s="42">
        <f>+K14*F15-F15</f>
        <v>206.27591038807077</v>
      </c>
      <c r="M14" s="41"/>
    </row>
    <row r="15" spans="1:13" x14ac:dyDescent="0.25">
      <c r="A15" s="80"/>
      <c r="B15" s="81"/>
      <c r="C15" s="81"/>
      <c r="D15" s="82"/>
      <c r="E15" s="45" t="s">
        <v>404</v>
      </c>
      <c r="F15" s="57">
        <f>+F14*0.13</f>
        <v>8642.7991000000184</v>
      </c>
      <c r="G15" s="57"/>
      <c r="H15" s="52" t="s">
        <v>404</v>
      </c>
      <c r="I15" s="56">
        <f>+I14*0.13</f>
        <v>19508.087932743369</v>
      </c>
      <c r="J15" s="43"/>
      <c r="K15" s="43"/>
      <c r="L15" s="42"/>
      <c r="M15" s="41"/>
    </row>
    <row r="16" spans="1:13" ht="15.75" thickBot="1" x14ac:dyDescent="0.3">
      <c r="A16" s="80"/>
      <c r="B16" s="81"/>
      <c r="C16" s="81"/>
      <c r="D16" s="82"/>
      <c r="E16" s="45"/>
      <c r="F16" s="57"/>
      <c r="G16" s="57"/>
      <c r="H16" s="52"/>
      <c r="I16" s="56"/>
      <c r="J16" s="43"/>
      <c r="K16" s="43"/>
      <c r="L16" s="55">
        <f>+L9+L10+J18</f>
        <v>14152.954478308413</v>
      </c>
      <c r="M16" s="41"/>
    </row>
    <row r="17" spans="1:13" ht="15.75" thickTop="1" x14ac:dyDescent="0.25">
      <c r="A17" s="80"/>
      <c r="B17" s="81"/>
      <c r="C17" s="81"/>
      <c r="D17" s="82"/>
      <c r="E17" s="45"/>
      <c r="F17" s="54"/>
      <c r="G17" s="53" t="s">
        <v>403</v>
      </c>
      <c r="H17" s="52"/>
      <c r="I17" s="51" t="s">
        <v>402</v>
      </c>
      <c r="J17" s="43"/>
      <c r="K17" s="43"/>
      <c r="L17" s="42"/>
      <c r="M17" s="41"/>
    </row>
    <row r="18" spans="1:13" ht="15.75" thickBot="1" x14ac:dyDescent="0.3">
      <c r="A18" s="80"/>
      <c r="B18" s="81"/>
      <c r="C18" s="81"/>
      <c r="D18" s="82"/>
      <c r="E18" s="45"/>
      <c r="F18" s="50">
        <f>+F15+F16</f>
        <v>8642.7991000000184</v>
      </c>
      <c r="G18" s="49">
        <f>+L14</f>
        <v>206.27591038807077</v>
      </c>
      <c r="H18" s="48">
        <f>+I15-G19</f>
        <v>11071.564743131421</v>
      </c>
      <c r="I18" s="47">
        <f>+Tabla4[[#Totals],[RETENCION]]</f>
        <v>147.87</v>
      </c>
      <c r="J18" s="46">
        <f>+H18-I18</f>
        <v>10923.69474313142</v>
      </c>
      <c r="K18" s="43"/>
      <c r="L18" s="42"/>
      <c r="M18" s="41"/>
    </row>
    <row r="19" spans="1:13" ht="15.75" thickBot="1" x14ac:dyDescent="0.3">
      <c r="A19" s="80"/>
      <c r="B19" s="81"/>
      <c r="C19" s="81"/>
      <c r="D19" s="82"/>
      <c r="E19" s="45"/>
      <c r="F19" s="45"/>
      <c r="G19" s="44">
        <f>+F18-G18</f>
        <v>8436.5231896119476</v>
      </c>
      <c r="H19" s="43"/>
      <c r="I19" s="43"/>
      <c r="J19" s="43"/>
      <c r="K19" s="43"/>
      <c r="L19" s="42"/>
      <c r="M19" s="41"/>
    </row>
    <row r="20" spans="1:13" ht="15.75" thickBot="1" x14ac:dyDescent="0.3">
      <c r="A20" s="83"/>
      <c r="B20" s="84"/>
      <c r="C20" s="84"/>
      <c r="D20" s="85"/>
      <c r="E20" s="40"/>
      <c r="F20" s="40"/>
      <c r="G20" s="39"/>
      <c r="H20" s="39"/>
      <c r="I20" s="39"/>
      <c r="J20" s="39"/>
      <c r="K20" s="39"/>
      <c r="L20" s="38"/>
      <c r="M20" s="37"/>
    </row>
  </sheetData>
  <mergeCells count="10">
    <mergeCell ref="A2:D20"/>
    <mergeCell ref="E2:F2"/>
    <mergeCell ref="L2:M3"/>
    <mergeCell ref="G2:G3"/>
    <mergeCell ref="H2:H3"/>
    <mergeCell ref="I2:I3"/>
    <mergeCell ref="J2:J3"/>
    <mergeCell ref="K2:K3"/>
    <mergeCell ref="M10:M11"/>
    <mergeCell ref="L10:L11"/>
  </mergeCells>
  <conditionalFormatting sqref="L2 L15:M20 M13:M14 L12:M12 L4:M10">
    <cfRule type="containsText" dxfId="1" priority="2" operator="containsText" text="DATO">
      <formula>NOT(ISERROR(SEARCH("DATO",L2)))</formula>
    </cfRule>
  </conditionalFormatting>
  <conditionalFormatting sqref="L13:L14">
    <cfRule type="containsText" dxfId="0" priority="1" operator="containsText" text="DATO">
      <formula>NOT(ISERROR(SEARCH("DATO",L13)))</formula>
    </cfRule>
  </conditionalFormatting>
  <pageMargins left="0.7" right="0.7" top="0.75" bottom="0.75" header="0.3" footer="0.3"/>
  <pageSetup orientation="landscape" horizontalDpi="4294967294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</vt:i4>
      </vt:variant>
    </vt:vector>
  </HeadingPairs>
  <TitlesOfParts>
    <vt:vector size="13" baseType="lpstr">
      <vt:lpstr>Compras</vt:lpstr>
      <vt:lpstr>Libro de Compras</vt:lpstr>
      <vt:lpstr>Contribuyente</vt:lpstr>
      <vt:lpstr>Libro de Contribuyente</vt:lpstr>
      <vt:lpstr>RESUMEN</vt:lpstr>
      <vt:lpstr>Consumidor</vt:lpstr>
      <vt:lpstr>Libro de Consumidor</vt:lpstr>
      <vt:lpstr>base de clientes</vt:lpstr>
      <vt:lpstr>RET 1%</vt:lpstr>
      <vt:lpstr>RET 10%</vt:lpstr>
      <vt:lpstr>DECLARACION</vt:lpstr>
      <vt:lpstr>Hoja1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pablo</cp:lastModifiedBy>
  <cp:lastPrinted>2021-11-12T13:06:12Z</cp:lastPrinted>
  <dcterms:created xsi:type="dcterms:W3CDTF">2021-04-05T22:54:25Z</dcterms:created>
  <dcterms:modified xsi:type="dcterms:W3CDTF">2022-10-25T17:28:08Z</dcterms:modified>
</cp:coreProperties>
</file>